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P&amp;L_Base" sheetId="2" state="visible" r:id="rId2"/>
    <sheet xmlns:r="http://schemas.openxmlformats.org/officeDocument/2006/relationships" name="Stress" sheetId="3" state="visible" r:id="rId3"/>
    <sheet xmlns:r="http://schemas.openxmlformats.org/officeDocument/2006/relationships" name="Debt" sheetId="4" state="visible" r:id="rId4"/>
    <sheet xmlns:r="http://schemas.openxmlformats.org/officeDocument/2006/relationships" name="CreditRatios" sheetId="5" state="visible" r:id="rId5"/>
    <sheet xmlns:r="http://schemas.openxmlformats.org/officeDocument/2006/relationships" name="DebtBreaku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6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62" customWidth="1" min="7" max="7"/>
  </cols>
  <sheetData>
    <row r="1">
      <c r="A1" s="1" t="inlineStr">
        <is>
          <t>Driver</t>
        </is>
      </c>
      <c r="B1" s="1" t="inlineStr">
        <is>
          <t>FY2027</t>
        </is>
      </c>
      <c r="C1" s="1" t="inlineStr">
        <is>
          <t>FY2028</t>
        </is>
      </c>
      <c r="D1" s="1" t="inlineStr">
        <is>
          <t>FY2029</t>
        </is>
      </c>
      <c r="E1" s="1" t="inlineStr">
        <is>
          <t>FY2030</t>
        </is>
      </c>
      <c r="F1" s="1" t="inlineStr">
        <is>
          <t>FY2031</t>
        </is>
      </c>
      <c r="G1" s="1" t="inlineStr">
        <is>
          <t>Source / basis (Step 12: every driver labelled)</t>
        </is>
      </c>
    </row>
    <row r="2">
      <c r="A2" t="inlineStr">
        <is>
          <t>Crushing capacity (TCD)</t>
        </is>
      </c>
      <c r="B2" t="n">
        <v>20500</v>
      </c>
      <c r="C2" t="n">
        <v>20500</v>
      </c>
      <c r="D2" t="n">
        <v>20500</v>
      </c>
      <c r="E2" t="n">
        <v>20500</v>
      </c>
      <c r="F2" t="n">
        <v>20500</v>
      </c>
      <c r="G2" t="inlineStr">
        <is>
          <t>Q1FY27 investor presentation, 15-Jul-2026 - Asmoli 12,500 + Mansurpur 8,000. FIXED: capacity fell from 29,500 on the Meerganj divestment and no expansion is announced.</t>
        </is>
      </c>
    </row>
    <row r="3">
      <c r="A3" t="inlineStr">
        <is>
          <t>Distillery capacity (KLPD)</t>
        </is>
      </c>
      <c r="B3" t="n">
        <v>312.5</v>
      </c>
      <c r="C3" t="n">
        <v>312.5</v>
      </c>
      <c r="D3" t="n">
        <v>312.5</v>
      </c>
      <c r="E3" t="n">
        <v>312.5</v>
      </c>
      <c r="F3" t="n">
        <v>312.5</v>
      </c>
      <c r="G3" t="inlineStr">
        <is>
          <t>Q1FY27 investor presentation - 312.5 KLPD on B-heavy molasses, including 100 KLPD dual-feed (molasses and grain).</t>
        </is>
      </c>
    </row>
    <row r="4">
      <c r="A4" t="inlineStr">
        <is>
          <t>Net TOI growth (%)</t>
        </is>
      </c>
      <c r="B4" t="n">
        <v>6</v>
      </c>
      <c r="C4" t="n">
        <v>7</v>
      </c>
      <c r="D4" t="n">
        <v>6</v>
      </c>
      <c r="E4" t="n">
        <v>5</v>
      </c>
      <c r="F4" t="n">
        <v>5</v>
      </c>
      <c r="G4" t="inlineStr">
        <is>
          <t>ANALYST JUDGMENT. Volume is capacity-capped, so growth is realisation- and mix-led: full-year contribution from the dual-feed distillery and a richer ethanol mix. No capacity expansion is assumed because none is announced.</t>
        </is>
      </c>
    </row>
    <row r="5">
      <c r="A5" t="inlineStr">
        <is>
          <t>PBILDT margin (%)</t>
        </is>
      </c>
      <c r="B5" t="n">
        <v>6.8</v>
      </c>
      <c r="C5" t="n">
        <v>7.2</v>
      </c>
      <c r="D5" t="n">
        <v>7.5</v>
      </c>
      <c r="E5" t="n">
        <v>7.6</v>
      </c>
      <c r="F5" t="n">
        <v>7.6</v>
      </c>
      <c r="G5" t="inlineStr">
        <is>
          <t>ANALYST JUDGMENT anchored on the FY2024 actual of 7.32%. Recovery assumes the FY2026 cane-cost step-up (SAP +Rs 30/quintal) is absorbed by realisation and that administered ethanol prices are revised at least once over the horizon. It does NOT assume a return to the pre-red-rot recovery rates.</t>
        </is>
      </c>
    </row>
    <row r="6">
      <c r="A6" t="inlineStr">
        <is>
          <t>Maintenance capex (Rs cr)</t>
        </is>
      </c>
      <c r="B6" t="n">
        <v>45</v>
      </c>
      <c r="C6" t="n">
        <v>45</v>
      </c>
      <c r="D6" t="n">
        <v>50</v>
      </c>
      <c r="E6" t="n">
        <v>50</v>
      </c>
      <c r="F6" t="n">
        <v>50</v>
      </c>
      <c r="G6" t="inlineStr">
        <is>
          <t>ANALYST JUDGMENT. Maintenance-level only, consistent with a capacity-capped asset base and no announced expansion; stepped modestly for the ageing distillery.</t>
        </is>
      </c>
    </row>
    <row r="7">
      <c r="A7" t="inlineStr">
        <is>
          <t>Scheduled LT debt repayment (Rs cr)</t>
        </is>
      </c>
      <c r="B7" t="n">
        <v>26</v>
      </c>
      <c r="C7" t="n">
        <v>26</v>
      </c>
      <c r="D7" t="n">
        <v>26</v>
      </c>
      <c r="E7" t="n">
        <v>26</v>
      </c>
      <c r="F7" t="n">
        <v>26</v>
      </c>
      <c r="G7" t="inlineStr">
        <is>
          <t>ANALYST JUDGMENT on the reduced post-divestment term-debt base.</t>
        </is>
      </c>
    </row>
    <row r="8">
      <c r="A8" t="inlineStr">
        <is>
          <t>Average interest rate (%)</t>
        </is>
      </c>
      <c r="B8" t="n">
        <v>6.2</v>
      </c>
      <c r="C8" t="n">
        <v>6.2</v>
      </c>
      <c r="D8" t="n">
        <v>6.3</v>
      </c>
      <c r="E8" t="n">
        <v>6.3</v>
      </c>
      <c r="F8" t="n">
        <v>6.3</v>
      </c>
      <c r="G8" t="inlineStr">
        <is>
          <t>Derived from FY2026 actuals: finance cost 62.98 on average total debt of 1,111.40 (FY2025 1,162.34 and FY2026 1,060.46) = 5.67%; rounded up for the working-capital mix.</t>
        </is>
      </c>
    </row>
    <row r="9">
      <c r="A9" t="inlineStr">
        <is>
          <t>Effective tax rate (%)</t>
        </is>
      </c>
      <c r="B9" t="n">
        <v>25.2</v>
      </c>
      <c r="C9" t="n">
        <v>25.2</v>
      </c>
      <c r="D9" t="n">
        <v>25.2</v>
      </c>
      <c r="E9" t="n">
        <v>25.2</v>
      </c>
      <c r="F9" t="n">
        <v>25.2</v>
      </c>
      <c r="G9" t="inlineStr">
        <is>
          <t>Statutory rate under s.115BAA. FY2026 actual effective rate was 38.4% on a small PBT base, distorted by the deferred-tax charge; the statutory rate is the better forward assumption.</t>
        </is>
      </c>
    </row>
    <row r="10">
      <c r="A10" t="inlineStr">
        <is>
          <t>Dividend payout (% of PAT)</t>
        </is>
      </c>
      <c r="B10" t="n">
        <v>20</v>
      </c>
      <c r="C10" t="n">
        <v>20</v>
      </c>
      <c r="D10" t="n">
        <v>20</v>
      </c>
      <c r="E10" t="n">
        <v>20</v>
      </c>
      <c r="F10" t="n">
        <v>20</v>
      </c>
      <c r="G10" t="inlineStr">
        <is>
          <t>ANALYST JUDGMENT consistent with the company's recent dividend record.</t>
        </is>
      </c>
    </row>
    <row r="11"/>
    <row r="12">
      <c r="A12" s="2" t="inlineStr">
        <is>
          <t>STRESS CASE - variables the CareEdge sugar methodology names</t>
        </is>
      </c>
    </row>
    <row r="13">
      <c r="A13" t="inlineStr">
        <is>
          <t>Net TOI growth (%)</t>
        </is>
      </c>
      <c r="B13" t="n">
        <v>0</v>
      </c>
      <c r="C13" t="n">
        <v>-2</v>
      </c>
      <c r="D13" t="n">
        <v>2</v>
      </c>
      <c r="E13" t="n">
        <v>3</v>
      </c>
      <c r="F13" t="n">
        <v>3</v>
      </c>
      <c r="G13" t="inlineStr">
        <is>
          <t>STRESS: an adverse cane year (red-rot recurrence / poor recovery) plus flat ethanol offtake. These are the variables the CareEdge sugar methodology names.</t>
        </is>
      </c>
    </row>
    <row r="14">
      <c r="A14" t="inlineStr">
        <is>
          <t>PBILDT margin (%)</t>
        </is>
      </c>
      <c r="B14" t="n">
        <v>5</v>
      </c>
      <c r="C14" t="n">
        <v>4.8</v>
      </c>
      <c r="D14" t="n">
        <v>5.5</v>
      </c>
      <c r="E14" t="n">
        <v>6</v>
      </c>
      <c r="F14" t="n">
        <v>6.2</v>
      </c>
      <c r="G14" t="inlineStr">
        <is>
          <t>STRESS: SAP rises with no realisation pass-through and ethanol prices stay administered and unchanged - the single most rating-sensitive combination for this issuer.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Rs crore</t>
        </is>
      </c>
      <c r="B1" s="1" t="inlineStr">
        <is>
          <t>FY2027</t>
        </is>
      </c>
      <c r="C1" s="1" t="inlineStr">
        <is>
          <t>FY2028</t>
        </is>
      </c>
      <c r="D1" s="1" t="inlineStr">
        <is>
          <t>FY2029</t>
        </is>
      </c>
      <c r="E1" s="1" t="inlineStr">
        <is>
          <t>FY2030</t>
        </is>
      </c>
      <c r="F1" s="1" t="inlineStr">
        <is>
          <t>FY2031</t>
        </is>
      </c>
    </row>
    <row r="2">
      <c r="A2" t="inlineStr">
        <is>
          <t>TOI (net of excise)</t>
        </is>
      </c>
      <c r="B2" t="n">
        <v>2206.93</v>
      </c>
      <c r="C2" t="n">
        <v>2361.42</v>
      </c>
      <c r="D2" t="n">
        <v>2503.1</v>
      </c>
      <c r="E2" t="n">
        <v>2628.26</v>
      </c>
      <c r="F2" t="n">
        <v>2759.67</v>
      </c>
    </row>
    <row r="3">
      <c r="A3" t="inlineStr">
        <is>
          <t>PBILDT</t>
        </is>
      </c>
      <c r="B3" t="n">
        <v>150.07</v>
      </c>
      <c r="C3" t="n">
        <v>170.02</v>
      </c>
      <c r="D3" t="n">
        <v>187.73</v>
      </c>
      <c r="E3" t="n">
        <v>199.75</v>
      </c>
      <c r="F3" t="n">
        <v>209.73</v>
      </c>
    </row>
    <row r="4">
      <c r="A4" t="inlineStr">
        <is>
          <t>PBILDT margin (%)</t>
        </is>
      </c>
      <c r="B4" t="n">
        <v>6.8</v>
      </c>
      <c r="C4" t="n">
        <v>7.2</v>
      </c>
      <c r="D4" t="n">
        <v>7.5</v>
      </c>
      <c r="E4" t="n">
        <v>7.6</v>
      </c>
      <c r="F4" t="n">
        <v>7.6</v>
      </c>
    </row>
    <row r="5">
      <c r="A5" t="inlineStr">
        <is>
          <t>Depreciation</t>
        </is>
      </c>
      <c r="B5" t="n">
        <v>59.94</v>
      </c>
      <c r="C5" t="n">
        <v>61.13</v>
      </c>
      <c r="D5" t="n">
        <v>62.36</v>
      </c>
      <c r="E5" t="n">
        <v>63.6</v>
      </c>
      <c r="F5" t="n">
        <v>64.88</v>
      </c>
    </row>
    <row r="6">
      <c r="A6" t="inlineStr">
        <is>
          <t>Interest</t>
        </is>
      </c>
      <c r="B6" t="n">
        <v>65.75</v>
      </c>
      <c r="C6" t="n">
        <v>65.53</v>
      </c>
      <c r="D6" t="n">
        <v>65.56999999999999</v>
      </c>
      <c r="E6" t="n">
        <v>64.18000000000001</v>
      </c>
      <c r="F6" t="n">
        <v>62.25</v>
      </c>
    </row>
    <row r="7">
      <c r="A7" t="inlineStr">
        <is>
          <t>PBT</t>
        </is>
      </c>
      <c r="B7" t="n">
        <v>24.39</v>
      </c>
      <c r="C7" t="n">
        <v>43.36</v>
      </c>
      <c r="D7" t="n">
        <v>59.8</v>
      </c>
      <c r="E7" t="n">
        <v>71.97</v>
      </c>
      <c r="F7" t="n">
        <v>82.61</v>
      </c>
    </row>
    <row r="8">
      <c r="A8" t="inlineStr">
        <is>
          <t>Tax</t>
        </is>
      </c>
      <c r="B8" t="n">
        <v>6.15</v>
      </c>
      <c r="C8" t="n">
        <v>10.93</v>
      </c>
      <c r="D8" t="n">
        <v>15.07</v>
      </c>
      <c r="E8" t="n">
        <v>18.14</v>
      </c>
      <c r="F8" t="n">
        <v>20.82</v>
      </c>
    </row>
    <row r="9">
      <c r="A9" t="inlineStr">
        <is>
          <t>PAT</t>
        </is>
      </c>
      <c r="B9" t="n">
        <v>18.24</v>
      </c>
      <c r="C9" t="n">
        <v>32.43</v>
      </c>
      <c r="D9" t="n">
        <v>44.73</v>
      </c>
      <c r="E9" t="n">
        <v>53.83</v>
      </c>
      <c r="F9" t="n">
        <v>61.79</v>
      </c>
    </row>
    <row r="10">
      <c r="A10" t="inlineStr">
        <is>
          <t>Gross cash accruals</t>
        </is>
      </c>
      <c r="B10" t="n">
        <v>78.18000000000001</v>
      </c>
      <c r="C10" t="n">
        <v>93.56999999999999</v>
      </c>
      <c r="D10" t="n">
        <v>107.09</v>
      </c>
      <c r="E10" t="n">
        <v>117.43</v>
      </c>
      <c r="F10" t="n">
        <v>126.67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Rs crore</t>
        </is>
      </c>
      <c r="B1" s="1" t="inlineStr">
        <is>
          <t>FY2027</t>
        </is>
      </c>
      <c r="C1" s="1" t="inlineStr">
        <is>
          <t>FY2028</t>
        </is>
      </c>
      <c r="D1" s="1" t="inlineStr">
        <is>
          <t>FY2029</t>
        </is>
      </c>
      <c r="E1" s="1" t="inlineStr">
        <is>
          <t>FY2030</t>
        </is>
      </c>
      <c r="F1" s="1" t="inlineStr">
        <is>
          <t>FY2031</t>
        </is>
      </c>
    </row>
    <row r="2">
      <c r="A2" t="inlineStr">
        <is>
          <t>TOI (net of excise)</t>
        </is>
      </c>
      <c r="B2" t="n">
        <v>2082.01</v>
      </c>
      <c r="C2" t="n">
        <v>2040.37</v>
      </c>
      <c r="D2" t="n">
        <v>2081.18</v>
      </c>
      <c r="E2" t="n">
        <v>2143.61</v>
      </c>
      <c r="F2" t="n">
        <v>2207.92</v>
      </c>
    </row>
    <row r="3">
      <c r="A3" t="inlineStr">
        <is>
          <t>PBILDT</t>
        </is>
      </c>
      <c r="B3" t="n">
        <v>104.1</v>
      </c>
      <c r="C3" t="n">
        <v>97.94</v>
      </c>
      <c r="D3" t="n">
        <v>114.46</v>
      </c>
      <c r="E3" t="n">
        <v>128.62</v>
      </c>
      <c r="F3" t="n">
        <v>136.89</v>
      </c>
    </row>
    <row r="4">
      <c r="A4" t="inlineStr">
        <is>
          <t>PBILDT margin (%)</t>
        </is>
      </c>
      <c r="B4" t="n">
        <v>5</v>
      </c>
      <c r="C4" t="n">
        <v>4.8</v>
      </c>
      <c r="D4" t="n">
        <v>5.5</v>
      </c>
      <c r="E4" t="n">
        <v>6</v>
      </c>
      <c r="F4" t="n">
        <v>6.2</v>
      </c>
    </row>
    <row r="5">
      <c r="A5" t="inlineStr">
        <is>
          <t>Depreciation</t>
        </is>
      </c>
      <c r="B5" t="n">
        <v>59.94</v>
      </c>
      <c r="C5" t="n">
        <v>61.13</v>
      </c>
      <c r="D5" t="n">
        <v>62.36</v>
      </c>
      <c r="E5" t="n">
        <v>63.6</v>
      </c>
      <c r="F5" t="n">
        <v>64.88</v>
      </c>
    </row>
    <row r="6">
      <c r="A6" t="inlineStr">
        <is>
          <t>Interest</t>
        </is>
      </c>
      <c r="B6" t="n">
        <v>65.75</v>
      </c>
      <c r="C6" t="n">
        <v>67.77</v>
      </c>
      <c r="D6" t="n">
        <v>71.44</v>
      </c>
      <c r="E6" t="n">
        <v>73.52</v>
      </c>
      <c r="F6" t="n">
        <v>74.83</v>
      </c>
    </row>
    <row r="7">
      <c r="A7" t="inlineStr">
        <is>
          <t>PBT</t>
        </is>
      </c>
      <c r="B7" t="n">
        <v>-21.58</v>
      </c>
      <c r="C7" t="n">
        <v>-30.97</v>
      </c>
      <c r="D7" t="n">
        <v>-19.33</v>
      </c>
      <c r="E7" t="n">
        <v>-8.5</v>
      </c>
      <c r="F7" t="n">
        <v>-2.82</v>
      </c>
    </row>
    <row r="8">
      <c r="A8" t="inlineStr">
        <is>
          <t>Tax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PAT</t>
        </is>
      </c>
      <c r="B9" t="n">
        <v>-21.58</v>
      </c>
      <c r="C9" t="n">
        <v>-30.97</v>
      </c>
      <c r="D9" t="n">
        <v>-19.33</v>
      </c>
      <c r="E9" t="n">
        <v>-8.5</v>
      </c>
      <c r="F9" t="n">
        <v>-2.82</v>
      </c>
    </row>
    <row r="10">
      <c r="A10" t="inlineStr">
        <is>
          <t>Gross cash accruals</t>
        </is>
      </c>
      <c r="B10" t="n">
        <v>38.35</v>
      </c>
      <c r="C10" t="n">
        <v>30.17</v>
      </c>
      <c r="D10" t="n">
        <v>43.03</v>
      </c>
      <c r="E10" t="n">
        <v>55.1</v>
      </c>
      <c r="F10" t="n">
        <v>62.06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Rs crore</t>
        </is>
      </c>
      <c r="B1" s="1" t="inlineStr">
        <is>
          <t>FY2027</t>
        </is>
      </c>
      <c r="C1" s="1" t="inlineStr">
        <is>
          <t>FY2028</t>
        </is>
      </c>
      <c r="D1" s="1" t="inlineStr">
        <is>
          <t>FY2029</t>
        </is>
      </c>
      <c r="E1" s="1" t="inlineStr">
        <is>
          <t>FY2030</t>
        </is>
      </c>
      <c r="F1" s="1" t="inlineStr">
        <is>
          <t>FY2031</t>
        </is>
      </c>
    </row>
    <row r="2">
      <c r="A2" t="inlineStr">
        <is>
          <t>Capex</t>
        </is>
      </c>
      <c r="B2" t="n">
        <v>45</v>
      </c>
      <c r="C2" t="n">
        <v>45</v>
      </c>
      <c r="D2" t="n">
        <v>50</v>
      </c>
      <c r="E2" t="n">
        <v>50</v>
      </c>
      <c r="F2" t="n">
        <v>50</v>
      </c>
    </row>
    <row r="3">
      <c r="A3" t="inlineStr">
        <is>
          <t>Dividend</t>
        </is>
      </c>
      <c r="B3" t="n">
        <v>3.65</v>
      </c>
      <c r="C3" t="n">
        <v>6.49</v>
      </c>
      <c r="D3" t="n">
        <v>8.949999999999999</v>
      </c>
      <c r="E3" t="n">
        <v>10.77</v>
      </c>
      <c r="F3" t="n">
        <v>12.36</v>
      </c>
    </row>
    <row r="4">
      <c r="A4" t="inlineStr">
        <is>
          <t>Scheduled repayment</t>
        </is>
      </c>
      <c r="B4" t="n">
        <v>26</v>
      </c>
      <c r="C4" t="n">
        <v>26</v>
      </c>
      <c r="D4" t="n">
        <v>26</v>
      </c>
      <c r="E4" t="n">
        <v>26</v>
      </c>
      <c r="F4" t="n">
        <v>26</v>
      </c>
    </row>
    <row r="5">
      <c r="A5" t="inlineStr">
        <is>
          <t>Less: gross cash accruals</t>
        </is>
      </c>
      <c r="B5" t="n">
        <v>78.18000000000001</v>
      </c>
      <c r="C5" t="n">
        <v>93.56999999999999</v>
      </c>
      <c r="D5" t="n">
        <v>107.09</v>
      </c>
      <c r="E5" t="n">
        <v>117.43</v>
      </c>
      <c r="F5" t="n">
        <v>126.67</v>
      </c>
    </row>
    <row r="6">
      <c r="A6">
        <f> FUNDING GAP (derived)</f>
        <v/>
      </c>
      <c r="B6" t="n">
        <v>-3.53</v>
      </c>
      <c r="C6" t="n">
        <v>-16.08</v>
      </c>
      <c r="D6" t="n">
        <v>-22.14</v>
      </c>
      <c r="E6" t="n">
        <v>-30.67</v>
      </c>
      <c r="F6" t="n">
        <v>-38.31</v>
      </c>
    </row>
    <row r="7">
      <c r="A7" t="inlineStr">
        <is>
          <t>Closing total debt</t>
        </is>
      </c>
      <c r="B7" t="n">
        <v>1056.93</v>
      </c>
      <c r="C7" t="n">
        <v>1040.85</v>
      </c>
      <c r="D7" t="n">
        <v>1018.71</v>
      </c>
      <c r="E7" t="n">
        <v>988.04</v>
      </c>
      <c r="F7" t="n">
        <v>949.73</v>
      </c>
    </row>
    <row r="8"/>
    <row r="9">
      <c r="A9" t="inlineStr">
        <is>
          <t>Funding gap = capex + dividend + scheduled repayment - internal accrual. The debt path is DERIVED from this identity, not carried forward from the historical pattern (failure mode 18).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CareEdge convention</t>
        </is>
      </c>
      <c r="B1" s="1" t="inlineStr">
        <is>
          <t>FY2024</t>
        </is>
      </c>
      <c r="C1" s="1" t="inlineStr">
        <is>
          <t>FY2025</t>
        </is>
      </c>
      <c r="D1" s="1" t="inlineStr">
        <is>
          <t>FY2026</t>
        </is>
      </c>
      <c r="E1" s="1" t="inlineStr">
        <is>
          <t>FY2027</t>
        </is>
      </c>
      <c r="F1" s="1" t="inlineStr">
        <is>
          <t>FY2028</t>
        </is>
      </c>
      <c r="G1" s="1" t="inlineStr">
        <is>
          <t>FY2029</t>
        </is>
      </c>
      <c r="H1" s="1" t="inlineStr">
        <is>
          <t>FY2030</t>
        </is>
      </c>
      <c r="I1" s="1" t="inlineStr">
        <is>
          <t>FY2031</t>
        </is>
      </c>
    </row>
    <row r="2">
      <c r="A2" t="inlineStr">
        <is>
          <t>PBILDT margin (%)</t>
        </is>
      </c>
      <c r="B2" t="n">
        <v>7.53</v>
      </c>
      <c r="C2" t="n">
        <v>7.43</v>
      </c>
      <c r="D2" t="n">
        <v>6.29</v>
      </c>
      <c r="E2" t="n">
        <v>6.8</v>
      </c>
      <c r="F2" t="n">
        <v>7.2</v>
      </c>
      <c r="G2" t="n">
        <v>7.5</v>
      </c>
      <c r="H2" t="n">
        <v>7.6</v>
      </c>
      <c r="I2" t="n">
        <v>7.6</v>
      </c>
    </row>
    <row r="3">
      <c r="A3" t="inlineStr">
        <is>
          <t>Interest coverage (x)</t>
        </is>
      </c>
      <c r="B3" t="n">
        <v>3.05</v>
      </c>
      <c r="C3" t="n">
        <v>2.09</v>
      </c>
      <c r="D3" t="n">
        <v>2.08</v>
      </c>
      <c r="E3" t="n">
        <v>2.28</v>
      </c>
      <c r="F3" t="n">
        <v>2.59</v>
      </c>
      <c r="G3" t="n">
        <v>2.86</v>
      </c>
      <c r="H3" t="n">
        <v>3.11</v>
      </c>
      <c r="I3" t="n">
        <v>3.37</v>
      </c>
    </row>
    <row r="4">
      <c r="A4" t="inlineStr">
        <is>
          <t>Total debt / PBILDT (x)</t>
        </is>
      </c>
      <c r="B4" t="n">
        <v>7.67</v>
      </c>
      <c r="C4" t="n">
        <v>8.31</v>
      </c>
      <c r="D4" t="n">
        <v>8.09</v>
      </c>
      <c r="E4" t="n">
        <v>7.04</v>
      </c>
      <c r="F4" t="n">
        <v>6.12</v>
      </c>
      <c r="G4" t="n">
        <v>5.43</v>
      </c>
      <c r="H4" t="n">
        <v>4.95</v>
      </c>
      <c r="I4" t="n">
        <v>4.53</v>
      </c>
    </row>
    <row r="5">
      <c r="A5" t="inlineStr">
        <is>
          <t>Total debt / GCA (x)</t>
        </is>
      </c>
      <c r="B5" t="n">
        <v>10.75</v>
      </c>
      <c r="C5" t="n">
        <v>17.63</v>
      </c>
      <c r="D5" t="n">
        <v>12.67</v>
      </c>
      <c r="E5" t="n">
        <v>13.52</v>
      </c>
      <c r="F5" t="n">
        <v>11.12</v>
      </c>
      <c r="G5" t="n">
        <v>9.51</v>
      </c>
      <c r="H5" t="n">
        <v>8.41</v>
      </c>
      <c r="I5" t="n">
        <v>7.5</v>
      </c>
    </row>
    <row r="6">
      <c r="A6" t="inlineStr">
        <is>
          <t>Overall gearing (x)</t>
        </is>
      </c>
      <c r="B6" t="n">
        <v>1.04</v>
      </c>
      <c r="C6" t="n">
        <v>1.14</v>
      </c>
      <c r="D6" t="n">
        <v>1.03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</row>
    <row r="7">
      <c r="A7" t="inlineStr">
        <is>
          <t>Total debt (Rs cr)</t>
        </is>
      </c>
      <c r="B7" t="n">
        <v>1056.95</v>
      </c>
      <c r="C7" t="n">
        <v>1162.34</v>
      </c>
      <c r="D7" t="n">
        <v>1060.46</v>
      </c>
      <c r="E7" t="n">
        <v>1056.93</v>
      </c>
      <c r="F7" t="n">
        <v>1040.85</v>
      </c>
      <c r="G7" t="n">
        <v>1018.71</v>
      </c>
      <c r="H7" t="n">
        <v>988.04</v>
      </c>
      <c r="I7" t="n">
        <v>949.73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54" customWidth="1" min="1" max="1"/>
    <col width="10" customWidth="1" min="2" max="2"/>
    <col width="10" customWidth="1" min="3" max="3"/>
    <col width="10" customWidth="1" min="4" max="4"/>
    <col width="62" customWidth="1" min="5" max="5"/>
  </cols>
  <sheetData>
    <row r="1">
      <c r="A1" s="1" t="inlineStr">
        <is>
          <t>Component (consolidated, as printed)</t>
        </is>
      </c>
      <c r="B1" s="1" t="inlineStr">
        <is>
          <t>FY2024</t>
        </is>
      </c>
      <c r="C1" s="1" t="inlineStr">
        <is>
          <t>FY2025</t>
        </is>
      </c>
      <c r="D1" s="1" t="inlineStr">
        <is>
          <t>FY2026</t>
        </is>
      </c>
      <c r="E1" s="1" t="inlineStr">
        <is>
          <t>Source</t>
        </is>
      </c>
    </row>
    <row r="2">
      <c r="A2" t="inlineStr">
        <is>
          <t>Borrowings - non-current</t>
        </is>
      </c>
      <c r="B2" t="n">
        <v>176.95</v>
      </c>
      <c r="C2" t="n">
        <v>236.27</v>
      </c>
      <c r="D2" t="n">
        <v>206.98</v>
      </c>
      <c r="E2" t="inlineStr">
        <is>
          <t>AR 2025-26, standalone statements note 17(i)</t>
        </is>
      </c>
    </row>
    <row r="3">
      <c r="A3" t="inlineStr">
        <is>
          <t>Borrowings - current</t>
        </is>
      </c>
      <c r="B3" t="n">
        <v>869.86</v>
      </c>
      <c r="C3" t="n">
        <v>915.98</v>
      </c>
      <c r="D3" t="n">
        <v>847.1900000000001</v>
      </c>
      <c r="E3" t="inlineStr">
        <is>
          <t>AR 2025-26, standalone statements note 17(ii)</t>
        </is>
      </c>
    </row>
    <row r="4">
      <c r="A4" t="inlineStr">
        <is>
          <t>Lease liabilities - NC</t>
        </is>
      </c>
      <c r="B4" t="n">
        <v>6.61</v>
      </c>
      <c r="C4" t="n">
        <v>5.41</v>
      </c>
      <c r="D4" t="n">
        <v>2.73</v>
      </c>
      <c r="E4" t="inlineStr">
        <is>
          <t>AR 2025-26, standalone statements note 18(i)</t>
        </is>
      </c>
    </row>
    <row r="5">
      <c r="A5" t="inlineStr">
        <is>
          <t>Lease liabilities - current</t>
        </is>
      </c>
      <c r="B5" t="n">
        <v>3.53</v>
      </c>
      <c r="C5" t="n">
        <v>4.68</v>
      </c>
      <c r="D5" t="n">
        <v>3.56</v>
      </c>
      <c r="E5" t="inlineStr">
        <is>
          <t>AR 2025-26, standalone statements note 18(ii)</t>
        </is>
      </c>
    </row>
    <row r="6">
      <c r="A6" t="inlineStr">
        <is>
          <t>TOTAL DEBT (incl leases)</t>
        </is>
      </c>
      <c r="B6" t="n">
        <v>1056.95</v>
      </c>
      <c r="C6" t="n">
        <v>1162.34</v>
      </c>
      <c r="D6" t="n">
        <v>1060.46</v>
      </c>
      <c r="E6" t="inlineStr">
        <is>
          <t>sum of the four lines above - tied to the balance-sheet subtotals</t>
        </is>
      </c>
    </row>
    <row r="7">
      <c r="A7" t="inlineStr">
        <is>
          <t>Unencumbered cash</t>
        </is>
      </c>
      <c r="B7" t="n">
        <v>2.38</v>
      </c>
      <c r="C7" t="n">
        <v>6.9</v>
      </c>
      <c r="D7" t="n">
        <v>4.5</v>
      </c>
      <c r="E7" t="inlineStr">
        <is>
          <t>note 13 ONLY - other bank balances are margin/earmarked (FM34)</t>
        </is>
      </c>
    </row>
    <row r="8">
      <c r="A8" t="inlineStr">
        <is>
          <t>NET DEBT</t>
        </is>
      </c>
      <c r="B8" t="n">
        <v>1054.57</v>
      </c>
      <c r="C8" t="n">
        <v>1155.44</v>
      </c>
      <c r="D8" t="n">
        <v>1055.96</v>
      </c>
      <c r="E8" t="inlineStr">
        <is>
          <t>derived on UNENCUMBERED cash</t>
        </is>
      </c>
    </row>
    <row r="9"/>
    <row r="10">
      <c r="A10" s="2" t="inlineStr">
        <is>
          <t>RATED LIMITS vs DRAWN DEBT (failure modes 13 and 31)</t>
        </is>
      </c>
    </row>
    <row r="11">
      <c r="A11" t="inlineStr">
        <is>
          <t>CareEdge published limits, action dated 04-Sep-2026</t>
        </is>
      </c>
      <c r="B11" t="n">
        <v>1062.05</v>
      </c>
      <c r="C11" t="inlineStr"/>
      <c r="D11" t="inlineStr"/>
      <c r="E11" t="inlineStr">
        <is>
          <t>LT 987.05 (CC 770.00 + TL 117.05 + WCDL 100.00) + ST 75.00 BG/LC. CRA-PUBLISHED under the five-condition amendment, NOT issuer-confirmed.</t>
        </is>
      </c>
    </row>
    <row r="12">
      <c r="A12" t="inlineStr">
        <is>
          <t>Drawn borrowings incl leases, 31-Mar-2026</t>
        </is>
      </c>
      <c r="B12" t="n">
        <v>1060.46</v>
      </c>
      <c r="C12" t="inlineStr"/>
      <c r="D12" t="inlineStr"/>
      <c r="E12" t="inlineStr">
        <is>
          <t>Limits and drawn debt are DIFFERENT measures and do not reconcile.</t>
        </is>
      </c>
    </row>
    <row r="13">
      <c r="A13" t="inlineStr">
        <is>
          <t xml:space="preserve">  of which working capital</t>
        </is>
      </c>
      <c r="B13" t="n">
        <v>764.51</v>
      </c>
      <c r="C13" t="inlineStr"/>
      <c r="D13" t="inlineStr"/>
      <c r="E13" t="inlineStr">
        <is>
          <t>current borrowings 847.19 LESS current maturities of LT debt 82.68</t>
        </is>
      </c>
    </row>
    <row r="14">
      <c r="A14" t="inlineStr">
        <is>
          <t xml:space="preserve">  of which long-term (incl current maturities)</t>
        </is>
      </c>
      <c r="B14" t="n">
        <v>289.66</v>
      </c>
      <c r="C14" t="inlineStr"/>
      <c r="D14" t="inlineStr"/>
      <c r="E14" t="inlineStr">
        <is>
          <t>non-current 206.98 PLUS current maturities 82.68 - the split v1 never made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2026-09-04T18:50:52Z</dcterms:created>
  <dcterms:modified xmlns:dcterms="http://purl.org/dc/terms/" xmlns:xsi="http://www.w3.org/2001/XMLSchema-instance" xsi:type="dcterms:W3CDTF">2026-09-04T18:50:52Z</dcterms:modified>
</cp:coreProperties>
</file>