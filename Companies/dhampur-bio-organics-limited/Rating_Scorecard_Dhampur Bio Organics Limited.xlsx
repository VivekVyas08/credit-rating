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Projections" sheetId="3" state="visible" r:id="rId3"/>
    <sheet xmlns:r="http://schemas.openxmlformats.org/officeDocument/2006/relationships" name="Ratios" sheetId="4" state="visible" r:id="rId4"/>
    <sheet xmlns:r="http://schemas.openxmlformats.org/officeDocument/2006/relationships" name="Scorecard" sheetId="5" state="visible" r:id="rId5"/>
    <sheet xmlns:r="http://schemas.openxmlformats.org/officeDocument/2006/relationships" name="Rating" sheetId="6" state="visible" r:id="rId6"/>
    <sheet xmlns:r="http://schemas.openxmlformats.org/officeDocument/2006/relationships" name="Ref_Scales" sheetId="7" state="visible" r:id="rId7"/>
    <sheet xmlns:r="http://schemas.openxmlformats.org/officeDocument/2006/relationships" name="Ref_Weights" sheetId="8" state="visible" r:id="rId8"/>
    <sheet xmlns:r="http://schemas.openxmlformats.org/officeDocument/2006/relationships" name="Ref_Bands" sheetId="9" state="visible" r:id="rId9"/>
    <sheet xmlns:r="http://schemas.openxmlformats.org/officeDocument/2006/relationships" name="Ref_Bands_Fin" sheetId="10" state="visible" r:id="rId10"/>
    <sheet xmlns:r="http://schemas.openxmlformats.org/officeDocument/2006/relationships" name="Ref_Qualitative" sheetId="11" state="visible" r:id="rId11"/>
  </sheets>
  <definedNames/>
  <calcPr calcId="191029" fullCalcOnLoad="1"/>
</workbook>
</file>

<file path=xl/styles.xml><?xml version="1.0" encoding="utf-8"?>
<styleSheet xmlns="http://schemas.openxmlformats.org/spreadsheetml/2006/main">
  <numFmts count="5">
    <numFmt numFmtId="164" formatCode="#,##0;(#,##0);&quot;-&quot;"/>
    <numFmt numFmtId="165" formatCode="0.0%;(0.0%);&quot;-&quot;"/>
    <numFmt numFmtId="166" formatCode="0.00x;(0.00x);&quot;-&quot;"/>
    <numFmt numFmtId="167" formatCode="0.0"/>
    <numFmt numFmtId="168" formatCode="0.0%"/>
  </numFmts>
  <fonts count="22">
    <font>
      <name val="Calibri"/>
      <family val="2"/>
      <color theme="1"/>
      <sz val="11"/>
      <scheme val="minor"/>
    </font>
    <font>
      <name val="Arial"/>
      <b val="1"/>
      <color rgb="001B2A4A"/>
      <sz val="14"/>
    </font>
    <font>
      <name val="Arial"/>
      <b val="1"/>
      <color rgb="001B2A4A"/>
      <sz val="11"/>
    </font>
    <font>
      <name val="Arial"/>
      <sz val="10"/>
    </font>
    <font>
      <name val="Arial"/>
      <i val="1"/>
      <color rgb="0068738A"/>
      <sz val="9"/>
    </font>
    <font>
      <name val="Arial"/>
      <b val="1"/>
      <color rgb="00FFFFFF"/>
      <sz val="10"/>
    </font>
    <font>
      <name val="Arial"/>
      <color rgb="000000FF"/>
      <sz val="10"/>
    </font>
    <font>
      <name val="Arial"/>
      <b val="1"/>
      <sz val="10"/>
    </font>
    <font>
      <name val="Arial"/>
      <color rgb="00008000"/>
      <sz val="10"/>
    </font>
    <font>
      <name val="Arial"/>
      <b val="1"/>
      <color rgb="001B2A4A"/>
      <sz val="16"/>
    </font>
    <font>
      <b val="1"/>
      <sz val="12"/>
    </font>
    <font>
      <b val="1"/>
    </font>
    <font>
      <b val="1"/>
      <color rgb="00FFFFFF"/>
    </font>
    <font>
      <b val="1"/>
      <color rgb="001B2A4A"/>
    </font>
    <font>
      <b val="1"/>
      <color rgb="00FFFFFF"/>
      <sz val="11"/>
    </font>
    <font>
      <b val="1"/>
      <color rgb="001B2A4A"/>
      <sz val="16"/>
    </font>
    <font>
      <b val="1"/>
      <color rgb="001B2A4A"/>
      <sz val="12"/>
    </font>
    <font>
      <i val="1"/>
      <color rgb="006B7891"/>
      <sz val="9"/>
    </font>
    <font>
      <sz val="10"/>
    </font>
    <font>
      <b val="1"/>
      <color rgb="001B2A4A"/>
      <sz val="10"/>
    </font>
    <font>
      <i val="1"/>
      <color rgb="00555555"/>
      <sz val="9"/>
    </font>
    <font>
      <name val="Calibri"/>
      <family val="2"/>
      <b val="1"/>
      <color theme="1"/>
      <sz val="11"/>
      <scheme val="minor"/>
    </font>
  </fonts>
  <fills count="7">
    <fill>
      <patternFill/>
    </fill>
    <fill>
      <patternFill patternType="gray125"/>
    </fill>
    <fill>
      <patternFill patternType="solid">
        <fgColor rgb="001B2A4A"/>
      </patternFill>
    </fill>
    <fill>
      <patternFill patternType="solid">
        <fgColor rgb="00FFFF00"/>
      </patternFill>
    </fill>
    <fill>
      <patternFill patternType="solid">
        <fgColor rgb="00E2F3E6"/>
      </patternFill>
    </fill>
    <fill>
      <patternFill patternType="solid">
        <fgColor rgb="00FFF4E5"/>
      </patternFill>
    </fill>
    <fill>
      <patternFill patternType="solid">
        <fgColor rgb="000E7C7B"/>
      </patternFill>
    </fill>
  </fills>
  <borders count="6">
    <border>
      <left/>
      <right/>
      <top/>
      <bottom/>
      <diagonal/>
    </border>
    <border>
      <left style="thin">
        <color rgb="00B7C0CE"/>
      </left>
      <right style="thin">
        <color rgb="00B7C0CE"/>
      </right>
      <top style="thin">
        <color rgb="00B7C0CE"/>
      </top>
      <bottom style="thin">
        <color rgb="00B7C0CE"/>
      </bottom>
    </border>
    <border>
      <left/>
      <right/>
      <top style="thin">
        <color rgb="00B7C0CE"/>
      </top>
      <bottom/>
      <diagonal/>
    </border>
    <border>
      <left/>
      <right style="thin">
        <color rgb="00B7C0CE"/>
      </right>
      <top style="thin">
        <color rgb="00B7C0CE"/>
      </top>
      <bottom/>
      <diagonal/>
    </border>
    <border>
      <left/>
      <right/>
      <top style="thin">
        <color rgb="00B7C0CE"/>
      </top>
      <bottom style="thin">
        <color rgb="00B7C0CE"/>
      </bottom>
      <diagonal/>
    </border>
    <border>
      <left/>
      <right style="thin">
        <color rgb="00B7C0CE"/>
      </right>
      <top style="thin">
        <color rgb="00B7C0CE"/>
      </top>
      <bottom style="thin">
        <color rgb="00B7C0CE"/>
      </bottom>
      <diagonal/>
    </border>
  </borders>
  <cellStyleXfs count="1">
    <xf numFmtId="0" fontId="0" fillId="0" borderId="0"/>
  </cellStyleXfs>
  <cellXfs count="7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1" pivotButton="0" quotePrefix="0" xfId="0"/>
    <xf numFmtId="0" fontId="6" fillId="3" borderId="1" pivotButton="0" quotePrefix="0" xfId="0"/>
    <xf numFmtId="0" fontId="0" fillId="0" borderId="4" pivotButton="0" quotePrefix="0" xfId="0"/>
    <xf numFmtId="0" fontId="0" fillId="0" borderId="5" pivotButton="0" quotePrefix="0" xfId="0"/>
    <xf numFmtId="0" fontId="4" fillId="0" borderId="0" pivotButton="0" quotePrefix="0" xfId="0"/>
    <xf numFmtId="0" fontId="2" fillId="0" borderId="0" pivotButton="0" quotePrefix="0" xfId="0"/>
    <xf numFmtId="0" fontId="5" fillId="2" borderId="1" pivotButton="0" quotePrefix="0" xfId="0"/>
    <xf numFmtId="0" fontId="6" fillId="3" borderId="1" applyAlignment="1" pivotButton="0" quotePrefix="0" xfId="0">
      <alignment horizontal="center"/>
    </xf>
    <xf numFmtId="0" fontId="3" fillId="0" borderId="1" pivotButton="0" quotePrefix="0" xfId="0"/>
    <xf numFmtId="164" fontId="6" fillId="3" borderId="1" pivotButton="0" quotePrefix="0" xfId="0"/>
    <xf numFmtId="0" fontId="5" fillId="2" borderId="1" applyAlignment="1" pivotButton="0" quotePrefix="0" xfId="0">
      <alignment horizontal="center"/>
    </xf>
    <xf numFmtId="165" fontId="6" fillId="3" borderId="1" pivotButton="0" quotePrefix="0" xfId="0"/>
    <xf numFmtId="1" fontId="6" fillId="3" borderId="1" pivotButton="0" quotePrefix="0" xfId="0"/>
    <xf numFmtId="164" fontId="3" fillId="0" borderId="1" pivotButton="0" quotePrefix="0" xfId="0"/>
    <xf numFmtId="0" fontId="8" fillId="0" borderId="0" pivotButton="0" quotePrefix="0" xfId="0"/>
    <xf numFmtId="165" fontId="3" fillId="0" borderId="1" pivotButton="0" quotePrefix="0" xfId="0"/>
    <xf numFmtId="166" fontId="3" fillId="0" borderId="1" pivotButton="0" quotePrefix="0" xfId="0"/>
    <xf numFmtId="166" fontId="8" fillId="0" borderId="1" pivotButton="0" quotePrefix="0" xfId="0"/>
    <xf numFmtId="1" fontId="3" fillId="0" borderId="1" pivotButton="0" quotePrefix="0" xfId="0"/>
    <xf numFmtId="2" fontId="8" fillId="0" borderId="1" pivotButton="0" quotePrefix="0" xfId="0"/>
    <xf numFmtId="2" fontId="3" fillId="0" borderId="1" pivotButton="0" quotePrefix="0" xfId="0"/>
    <xf numFmtId="165" fontId="8" fillId="0" borderId="1" pivotButton="0" quotePrefix="0" xfId="0"/>
    <xf numFmtId="0" fontId="3" fillId="0" borderId="0" pivotButton="0" quotePrefix="0" xfId="0"/>
    <xf numFmtId="2" fontId="7" fillId="4" borderId="1" pivotButton="0" quotePrefix="0" xfId="0"/>
    <xf numFmtId="0" fontId="7" fillId="4" borderId="1" pivotButton="0" quotePrefix="0" xfId="0"/>
    <xf numFmtId="0" fontId="9" fillId="4" borderId="1" pivotButton="0" quotePrefix="0" xfId="0"/>
    <xf numFmtId="164" fontId="8" fillId="0" borderId="1" pivotButton="0" quotePrefix="0" xfId="0"/>
    <xf numFmtId="167" fontId="6" fillId="3" borderId="1" pivotButton="0" quotePrefix="0" xfId="0"/>
    <xf numFmtId="2" fontId="6" fillId="3" borderId="1" pivotButton="0" quotePrefix="0" xfId="0"/>
    <xf numFmtId="168" fontId="6" fillId="3" borderId="1" pivotButton="0" quotePrefix="0" xfId="0"/>
    <xf numFmtId="164" fontId="6" fillId="3" borderId="1" pivotButton="0" quotePrefix="0" xfId="0"/>
    <xf numFmtId="165" fontId="6" fillId="3" borderId="1" pivotButton="0" quotePrefix="0" xfId="0"/>
    <xf numFmtId="164" fontId="3" fillId="0" borderId="1" pivotButton="0" quotePrefix="0" xfId="0"/>
    <xf numFmtId="165" fontId="3" fillId="0" borderId="1" pivotButton="0" quotePrefix="0" xfId="0"/>
    <xf numFmtId="166" fontId="3" fillId="0" borderId="1" pivotButton="0" quotePrefix="0" xfId="0"/>
    <xf numFmtId="166" fontId="8" fillId="0" borderId="1" pivotButton="0" quotePrefix="0" xfId="0"/>
    <xf numFmtId="165" fontId="8" fillId="0" borderId="1" pivotButton="0" quotePrefix="0" xfId="0"/>
    <xf numFmtId="164" fontId="8" fillId="0" borderId="1" pivotButton="0" quotePrefix="0" xfId="0"/>
    <xf numFmtId="167" fontId="6" fillId="3" borderId="1" pivotButton="0" quotePrefix="0" xfId="0"/>
    <xf numFmtId="168" fontId="6" fillId="3" borderId="1" pivotButton="0" quotePrefix="0" xfId="0"/>
    <xf numFmtId="0" fontId="11" fillId="0" borderId="0" pivotButton="0" quotePrefix="0" xfId="0"/>
    <xf numFmtId="0" fontId="0" fillId="0" borderId="0" applyAlignment="1" pivotButton="0" quotePrefix="0" xfId="0">
      <alignment vertical="top" wrapText="1"/>
    </xf>
    <xf numFmtId="0" fontId="10" fillId="0" borderId="0" pivotButton="0" quotePrefix="0" xfId="0"/>
    <xf numFmtId="0" fontId="11" fillId="0" borderId="0" applyAlignment="1" pivotButton="0" quotePrefix="0" xfId="0">
      <alignment vertical="top" wrapText="1"/>
    </xf>
    <xf numFmtId="0" fontId="12" fillId="2" borderId="0" pivotButton="0" quotePrefix="0" xfId="0"/>
    <xf numFmtId="0" fontId="13" fillId="0" borderId="0" pivotButton="0" quotePrefix="0" xfId="0"/>
    <xf numFmtId="0" fontId="0" fillId="5" borderId="0" pivotButton="0" quotePrefix="0" xfId="0"/>
    <xf numFmtId="0" fontId="14" fillId="6" borderId="0" pivotButton="0" quotePrefix="0" xfId="0"/>
    <xf numFmtId="0" fontId="15" fillId="0" borderId="0" pivotButton="0" quotePrefix="0" xfId="0"/>
    <xf numFmtId="0" fontId="16" fillId="0" borderId="0" pivotButton="0" quotePrefix="0" xfId="0"/>
    <xf numFmtId="0" fontId="13" fillId="0" borderId="1" pivotButton="0" quotePrefix="0" xfId="0"/>
    <xf numFmtId="0" fontId="17" fillId="0" borderId="1" applyAlignment="1" pivotButton="0" quotePrefix="0" xfId="0">
      <alignment vertical="top" wrapText="1"/>
    </xf>
    <xf numFmtId="0" fontId="14" fillId="2" borderId="1" pivotButton="0" quotePrefix="0" xfId="0"/>
    <xf numFmtId="0" fontId="17" fillId="0" borderId="0" pivotButton="0" quotePrefix="0" xfId="0"/>
    <xf numFmtId="0" fontId="17" fillId="0" borderId="0" applyAlignment="1" pivotButton="0" quotePrefix="0" xfId="0">
      <alignment vertical="top" wrapText="1"/>
    </xf>
    <xf numFmtId="0" fontId="17" fillId="4" borderId="1" pivotButton="0" quotePrefix="0" xfId="0"/>
    <xf numFmtId="0" fontId="14" fillId="2" borderId="0" pivotButton="0" quotePrefix="0" xfId="0"/>
    <xf numFmtId="0" fontId="5" fillId="2" borderId="1" applyAlignment="1" pivotButton="0" quotePrefix="0" xfId="0">
      <alignment vertical="top" wrapText="1"/>
    </xf>
    <xf numFmtId="164" fontId="8" fillId="0" borderId="1" applyAlignment="1" pivotButton="0" quotePrefix="0" xfId="0">
      <alignment vertical="top" wrapText="1"/>
    </xf>
    <xf numFmtId="164" fontId="13" fillId="0" borderId="1" pivotButton="0" quotePrefix="0" xfId="0"/>
    <xf numFmtId="0" fontId="14" fillId="6" borderId="1" pivotButton="0" quotePrefix="0" xfId="0"/>
    <xf numFmtId="166" fontId="8" fillId="0" borderId="1" applyAlignment="1" pivotButton="0" quotePrefix="0" xfId="0">
      <alignment vertical="top" wrapText="1"/>
    </xf>
    <xf numFmtId="0" fontId="16" fillId="5" borderId="0" applyAlignment="1" pivotButton="0" quotePrefix="0" xfId="0">
      <alignment vertical="top"/>
    </xf>
    <xf numFmtId="0" fontId="18" fillId="0" borderId="0" applyAlignment="1" pivotButton="0" quotePrefix="0" xfId="0">
      <alignment vertical="top"/>
    </xf>
    <xf numFmtId="0" fontId="19" fillId="0" borderId="0" pivotButton="0" quotePrefix="0" xfId="0"/>
    <xf numFmtId="0" fontId="20" fillId="0" borderId="0" applyAlignment="1" pivotButton="0" quotePrefix="0" xfId="0">
      <alignment vertical="top"/>
    </xf>
    <xf numFmtId="0" fontId="2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backtest</author>
  </authors>
  <commentList>
    <comment ref="C42" authorId="0" shapeId="0">
      <text>
        <t>Back-test: MUST be non-zero for PSU/sovereign or strong-parent strategic issuers - the neutral scorecard under-rates them by 2-3 notches otherwise.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29"/>
  <sheetViews>
    <sheetView workbookViewId="0">
      <selection activeCell="A1" sqref="A1"/>
    </sheetView>
  </sheetViews>
  <sheetFormatPr baseColWidth="8" defaultRowHeight="15"/>
  <cols>
    <col width="3" customWidth="1" min="1" max="1"/>
    <col width="120" customWidth="1" min="2" max="2"/>
  </cols>
  <sheetData>
    <row r="2">
      <c r="B2" s="1" t="inlineStr">
        <is>
          <t>Credit Rating Scorecard - CareEdge</t>
        </is>
      </c>
    </row>
    <row r="4">
      <c r="B4" s="2" t="inlineStr">
        <is>
          <t>How to use</t>
        </is>
      </c>
    </row>
    <row r="5" ht="26" customHeight="1">
      <c r="B5" s="3" t="inlineStr">
        <is>
          <t>1. On the Inputs sheet, fill every YELLOW cell: issuer, agency, sector, three years of financials, projection assumptions and the qualitative scores.</t>
        </is>
      </c>
    </row>
    <row r="6" ht="26" customHeight="1">
      <c r="B6" s="3" t="inlineStr">
        <is>
          <t>2. The Projections sheet builds FY+1/FY+2 earnings (future earning potential) from your assumptions.</t>
        </is>
      </c>
    </row>
    <row r="7" ht="26" customHeight="1">
      <c r="B7" s="3" t="inlineStr">
        <is>
          <t>3. The Ratios sheet computes the ratio set for all five years, labelled in the selected agency's conventions (OPBDIT / EBITDA / PBILDT etc.).</t>
        </is>
      </c>
    </row>
    <row r="8" ht="26" customHeight="1">
      <c r="B8" s="3" t="inlineStr">
        <is>
          <t>4. The Scorecard sheet scores financial risk automatically from threshold bands (Ref_Bands), takes your qualitative scores for industry/business/management, and weights them by the SECTOR you picked (Ref_Weights).</t>
        </is>
      </c>
    </row>
    <row r="9" ht="26" customHeight="1">
      <c r="B9" s="3" t="inlineStr">
        <is>
          <t>5. The Rating sheet converts the weighted score to a grade on the selected AGENCY's scale, applies support notches and hard caps, maps the short-term rating, and prints the rating line in that agency's house style.</t>
        </is>
      </c>
    </row>
    <row r="10">
      <c r="B10" s="3" t="inlineStr"/>
    </row>
    <row r="11">
      <c r="B11" s="2" t="inlineStr">
        <is>
          <t>Legend</t>
        </is>
      </c>
    </row>
    <row r="12" ht="26" customHeight="1">
      <c r="B12" s="3" t="inlineStr">
        <is>
          <t>YELLOW fill + blue text = cells you edit.  Black = formulas (do not edit).  Green = links to another sheet.  An example issuer ('Example Manufacturing Ltd') is pre-filled to show the expected format - overwrite it with your issuer.</t>
        </is>
      </c>
    </row>
    <row r="13">
      <c r="B13" s="3" t="inlineStr"/>
    </row>
    <row r="14">
      <c r="B14" s="2" t="inlineStr">
        <is>
          <t>Scoring convention</t>
        </is>
      </c>
    </row>
    <row r="15" ht="26" customHeight="1">
      <c r="B15" s="3" t="inlineStr">
        <is>
          <t>All scores run 1 (strongest) to 6 (weakest), consistent with the credit-rating-tool scorecard. The composite maps onto the 17-notch AAA..C scale; D is assigned only on actual default, never by the scorecard.</t>
        </is>
      </c>
    </row>
    <row r="16">
      <c r="B16" s="3" t="inlineStr"/>
    </row>
    <row r="17">
      <c r="B17" s="2" t="inlineStr">
        <is>
          <t>Assumptions and sources</t>
        </is>
      </c>
    </row>
    <row r="18" ht="30" customHeight="1">
      <c r="B18" s="4" t="inlineStr">
        <is>
          <t>- Financial-risk threshold bands and metric weights: credit-rating-tool/scorecard.py (Downloads/Claude), ILLUSTRATIVE benchmark ranges in the style of CareEdge/CareEdge/CareEdge published criteria. Calibrate against the methodology files before relying on output (e.g. CareEdge FMCG indicative bands: TOL/TNW &lt;=0.9x strongest, Total debt/OPBDIT &lt;=0.5x strongest).</t>
        </is>
      </c>
    </row>
    <row r="19" ht="30" customHeight="1">
      <c r="B19" s="4" t="inlineStr">
        <is>
          <t>- Sector weights and industry base scores (Ref_Weights): analyst assumptions reflecting each agency's framework (CareEdge: industry risk sets the sector median; CareEdge blocks A-E; CareEdge industry/business/financial/management). Editable - they are inputs, not published constants.</t>
        </is>
      </c>
    </row>
    <row r="20" ht="30" customHeight="1">
      <c r="B20" s="4" t="inlineStr">
        <is>
          <t>Derived from an empirical corpus of published rationales and back-tested 18-Jul-2026 against 396 rated issuers. This is THIS PROJECT'S calibration and is NOT published by CareEdge.</t>
        </is>
      </c>
    </row>
    <row r="21" ht="30" customHeight="1">
      <c r="B21" s="4" t="inlineStr">
        <is>
          <t>Derived from an empirical corpus of published rationales and back-tested 18-Jul-2026 against 396 rated issuers. This is THIS PROJECT'S calibration and is NOT published by CareEdge.</t>
        </is>
      </c>
    </row>
    <row r="22">
      <c r="B22" s="3" t="inlineStr"/>
    </row>
    <row r="23">
      <c r="B23" s="2" t="inlineStr">
        <is>
          <t>Scope</t>
        </is>
      </c>
    </row>
    <row r="24" ht="26" customHeight="1">
      <c r="B24" s="3" t="inlineStr">
        <is>
          <t>Covers NON-FINANCIAL CORPORATES and FINANCIAL-SECTOR issuers (Banks / SFBs, NBFCs, HFCs). The framework switches automatically from the Sector you pick: a Corporate sector uses the EBITDA / gearing / coverage ratio set; a Bank/NBFC/HFC sector uses the financial-sector set (CRAR, GNPA, NNPA, RoA, NIM, cost-to-income) filled in the Financial-sector inputs block. Insurers are NOT covered (solvency-margin framework differs).</t>
        </is>
      </c>
    </row>
    <row r="25" ht="26" customHeight="1">
      <c r="B25" s="3" t="inlineStr">
        <is>
          <t>For a financial issuer: pick the Bank/NBFC/HFC sector, fill the Financial-sector inputs block on Inputs, and leave the corporate financials/projections at their example values (they are ignored). The Projections sheet and corporate Ratios apply to corporates only.</t>
        </is>
      </c>
    </row>
    <row r="26" ht="26" customHeight="1">
      <c r="B26" s="3" t="inlineStr">
        <is>
          <t>This is an analytical exercise tool; the output is an ANCHOR grade, not an agency rating. Qualitative judgment, peer comparison and the full methodology always override.</t>
        </is>
      </c>
    </row>
    <row r="27">
      <c r="B27" s="45" t="inlineStr">
        <is>
          <t>Support notches - MANDATORY where support drives the rating (back-test finding, 18-Jul-2026)</t>
        </is>
      </c>
    </row>
    <row r="28">
      <c r="B28" s="46" t="inlineStr">
        <is>
          <t>The neutral scorecard structurally UNDER-rates support-driven names (PSU/sovereign-owned, strong-parent strategic subsidiaries) and OVER-rates governance/default-stressed names. Apply the parent/group/government notch on Inputs per the agency criteria BEFORE comparing to the analyst view: e.g. majority-government-owned strategic entity +2/+3; strong-parent strategic subsidiary +1/+2; weak parent / cash drain -1/-2. Leaving it at 0 for a support-driven issuer is the single commonest cause of a low anchor (JSW, IIFL).</t>
        </is>
      </c>
    </row>
    <row r="29">
      <c r="B29" s="46" t="inlineStr">
        <is>
          <t>Derived from an empirical corpus of published rationales and back-tested 18-Jul-2026 against 396 rated issuers. This is THIS PROJECT'S calibration and is NOT published by CareEdge.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69"/>
  <sheetViews>
    <sheetView workbookViewId="0">
      <selection activeCell="A1" sqref="A1"/>
    </sheetView>
  </sheetViews>
  <sheetFormatPr baseColWidth="8" defaultRowHeight="15"/>
  <cols>
    <col width="3" customWidth="1" min="1" max="1"/>
    <col width="40" customWidth="1" min="2" max="2"/>
    <col width="15" customWidth="1" min="3" max="3"/>
    <col width="15" customWidth="1" min="4" max="4"/>
    <col width="15" customWidth="1" min="5" max="5"/>
    <col width="50" customWidth="1" min="6" max="6"/>
  </cols>
  <sheetData>
    <row r="2">
      <c r="B2" s="1" t="inlineStr">
        <is>
          <t>Inputs - fill every yellow cell</t>
        </is>
      </c>
    </row>
    <row r="4">
      <c r="B4" s="5" t="inlineStr">
        <is>
          <t>Issuer name</t>
        </is>
      </c>
      <c r="C4" s="6" t="inlineStr">
        <is>
          <t>Dhampur Bio Organics Limited</t>
        </is>
      </c>
      <c r="D4" s="7" t="n"/>
      <c r="E4" s="8" t="n"/>
      <c r="F4" s="9" t="inlineStr">
        <is>
          <t>Example values pre-filled throughout - replace with your issuer's audited figures.</t>
        </is>
      </c>
    </row>
    <row r="5">
      <c r="B5" s="5" t="inlineStr">
        <is>
          <t>Rating agency</t>
        </is>
      </c>
      <c r="C5" s="6" t="inlineStr">
        <is>
          <t>CareEdge</t>
        </is>
      </c>
    </row>
    <row r="6">
      <c r="B6" s="5" t="inlineStr">
        <is>
          <t>Sector</t>
        </is>
      </c>
      <c r="C6" s="6" t="inlineStr">
        <is>
          <t>Sugar / Agro-processing</t>
        </is>
      </c>
      <c r="D6" s="7" t="n"/>
      <c r="E6" s="8" t="n"/>
    </row>
    <row r="7">
      <c r="B7" s="5" t="inlineStr">
        <is>
          <t>Rating date</t>
        </is>
      </c>
      <c r="C7" s="6" t="inlineStr">
        <is>
          <t>04-Sep-2026</t>
        </is>
      </c>
    </row>
    <row r="10">
      <c r="B10" s="10" t="inlineStr">
        <is>
          <t>Historical financials (Rs crore, audited)</t>
        </is>
      </c>
    </row>
    <row r="11">
      <c r="B11" s="11" t="inlineStr">
        <is>
          <t>Line item</t>
        </is>
      </c>
      <c r="C11" s="12" t="inlineStr">
        <is>
          <t>FY2024</t>
        </is>
      </c>
      <c r="D11" s="12" t="inlineStr">
        <is>
          <t>FY2025</t>
        </is>
      </c>
      <c r="E11" s="12" t="inlineStr">
        <is>
          <t>FY2026</t>
        </is>
      </c>
    </row>
    <row r="12">
      <c r="B12" s="13" t="inlineStr">
        <is>
          <t>Total operating income</t>
        </is>
      </c>
      <c r="C12" s="35" t="n">
        <v>2082.01</v>
      </c>
      <c r="D12" s="35" t="n">
        <v>11000</v>
      </c>
      <c r="E12" s="35" t="n">
        <v>12000</v>
      </c>
    </row>
    <row r="13">
      <c r="B13" s="13" t="inlineStr">
        <is>
          <t>EBITDA (OPBDIT / PBILDT)</t>
        </is>
      </c>
      <c r="C13" s="35" t="n">
        <v>131.04</v>
      </c>
      <c r="D13" s="35" t="n">
        <v>2000</v>
      </c>
      <c r="E13" s="35" t="n">
        <v>2280</v>
      </c>
    </row>
    <row r="14">
      <c r="B14" s="13" t="inlineStr">
        <is>
          <t>Depreciation &amp; amortisation</t>
        </is>
      </c>
      <c r="C14" s="35" t="n">
        <v>58.76</v>
      </c>
      <c r="D14" s="35" t="n">
        <v>430</v>
      </c>
      <c r="E14" s="35" t="n">
        <v>460</v>
      </c>
    </row>
    <row r="15">
      <c r="B15" s="13" t="inlineStr">
        <is>
          <t>Interest expense</t>
        </is>
      </c>
      <c r="C15" s="35" t="n">
        <v>62.96</v>
      </c>
      <c r="D15" s="35" t="n">
        <v>240</v>
      </c>
      <c r="E15" s="35" t="n">
        <v>230</v>
      </c>
    </row>
    <row r="16">
      <c r="B16" s="13" t="inlineStr">
        <is>
          <t>Profit after tax (PAT)</t>
        </is>
      </c>
      <c r="C16" s="35" t="n">
        <v>24.97</v>
      </c>
      <c r="D16" s="35" t="n">
        <v>920</v>
      </c>
      <c r="E16" s="35" t="n">
        <v>1080</v>
      </c>
    </row>
    <row r="17">
      <c r="B17" s="13" t="inlineStr">
        <is>
          <t>Total debt (incl. lease liabilities)</t>
        </is>
      </c>
      <c r="C17" s="35" t="n">
        <v>1060.46</v>
      </c>
      <c r="D17" s="35" t="n">
        <v>2800</v>
      </c>
      <c r="E17" s="35" t="n">
        <v>2600</v>
      </c>
    </row>
    <row r="18">
      <c r="B18" s="13" t="inlineStr">
        <is>
          <t>Cash &amp; liquid investments</t>
        </is>
      </c>
      <c r="C18" s="35" t="n">
        <v>4.5</v>
      </c>
      <c r="D18" s="35" t="n">
        <v>600</v>
      </c>
      <c r="E18" s="35" t="n">
        <v>800</v>
      </c>
    </row>
    <row r="19">
      <c r="B19" s="13" t="inlineStr">
        <is>
          <t>Tangible net worth</t>
        </is>
      </c>
      <c r="C19" s="35" t="n">
        <v>1029.68</v>
      </c>
      <c r="D19" s="35" t="n">
        <v>5900</v>
      </c>
      <c r="E19" s="35" t="n">
        <v>6700</v>
      </c>
    </row>
    <row r="20">
      <c r="B20" s="13" t="inlineStr">
        <is>
          <t>Total outside liabilities</t>
        </is>
      </c>
      <c r="C20" s="35" t="n">
        <v>1291.17</v>
      </c>
      <c r="D20" s="35" t="n">
        <v>4900</v>
      </c>
      <c r="E20" s="35" t="n">
        <v>5000</v>
      </c>
    </row>
    <row r="21">
      <c r="B21" s="13" t="inlineStr">
        <is>
          <t>Current assets</t>
        </is>
      </c>
      <c r="C21" s="35" t="n">
        <v>1154.27</v>
      </c>
      <c r="D21" s="35" t="n">
        <v>3800</v>
      </c>
      <c r="E21" s="35" t="n">
        <v>4200</v>
      </c>
    </row>
    <row r="22">
      <c r="B22" s="13" t="inlineStr">
        <is>
          <t>Current liabilities</t>
        </is>
      </c>
      <c r="C22" s="35" t="n">
        <v>1011.62</v>
      </c>
      <c r="D22" s="35" t="n">
        <v>2600</v>
      </c>
      <c r="E22" s="35" t="n">
        <v>2800</v>
      </c>
    </row>
    <row r="23">
      <c r="B23" s="13" t="inlineStr">
        <is>
          <t>Capital expenditure</t>
        </is>
      </c>
      <c r="C23" s="35" t="n">
        <v>45</v>
      </c>
      <c r="D23" s="35" t="n">
        <v>550</v>
      </c>
      <c r="E23" s="35" t="n">
        <v>600</v>
      </c>
    </row>
    <row r="24">
      <c r="B24" s="13" t="inlineStr">
        <is>
          <t>Dividends paid</t>
        </is>
      </c>
      <c r="C24" s="35" t="n">
        <v>4.99</v>
      </c>
      <c r="D24" s="35" t="n">
        <v>230</v>
      </c>
      <c r="E24" s="35" t="n">
        <v>270</v>
      </c>
    </row>
    <row r="27">
      <c r="B27" s="10" t="inlineStr">
        <is>
          <t>Projection assumptions (future earning potential)</t>
        </is>
      </c>
    </row>
    <row r="28">
      <c r="B28" s="11" t="inlineStr">
        <is>
          <t>Assumption</t>
        </is>
      </c>
      <c r="C28" s="15" t="inlineStr">
        <is>
          <t>FY+1</t>
        </is>
      </c>
      <c r="D28" s="15" t="inlineStr">
        <is>
          <t>FY+2</t>
        </is>
      </c>
    </row>
    <row r="29">
      <c r="B29" s="13" t="inlineStr">
        <is>
          <t>Revenue growth (%)</t>
        </is>
      </c>
      <c r="C29" s="36" t="n">
        <v>0.06</v>
      </c>
      <c r="D29" s="36" t="n">
        <v>0.08</v>
      </c>
    </row>
    <row r="30">
      <c r="B30" s="13" t="inlineStr">
        <is>
          <t>EBITDA margin (%)</t>
        </is>
      </c>
      <c r="C30" s="36" t="n">
        <v>0.068</v>
      </c>
      <c r="D30" s="36" t="n">
        <v>0.19</v>
      </c>
    </row>
    <row r="31">
      <c r="B31" s="13" t="inlineStr">
        <is>
          <t>Capital expenditure (Rs crore)</t>
        </is>
      </c>
      <c r="C31" s="35" t="n">
        <v>45</v>
      </c>
      <c r="D31" s="35" t="n">
        <v>700</v>
      </c>
    </row>
    <row r="32">
      <c r="B32" s="13" t="inlineStr">
        <is>
          <t>Net new debt + / (repayment) (Rs crore)</t>
        </is>
      </c>
      <c r="C32" s="35" t="n">
        <v>-3.53</v>
      </c>
      <c r="D32" s="35" t="n">
        <v>-200</v>
      </c>
    </row>
    <row r="33">
      <c r="B33" s="13" t="inlineStr">
        <is>
          <t>Average interest rate on debt (%)</t>
        </is>
      </c>
      <c r="C33" s="36" t="n">
        <v>0.062</v>
      </c>
      <c r="D33" s="36" t="n">
        <v>0.08500000000000001</v>
      </c>
    </row>
    <row r="34">
      <c r="B34" s="13" t="inlineStr">
        <is>
          <t>Tax rate (%)</t>
        </is>
      </c>
      <c r="C34" s="36" t="n">
        <v>0.252</v>
      </c>
      <c r="D34" s="36" t="n">
        <v>0.25</v>
      </c>
    </row>
    <row r="35">
      <c r="B35" s="13" t="inlineStr">
        <is>
          <t>Dividend payout (% of PAT)</t>
        </is>
      </c>
      <c r="C35" s="36" t="n">
        <v>0.2</v>
      </c>
      <c r="D35" s="36" t="n">
        <v>0.25</v>
      </c>
    </row>
    <row r="38">
      <c r="B38" s="10" t="inlineStr">
        <is>
          <t>Qualitative assessment (1 = strongest ... 6 = weakest)</t>
        </is>
      </c>
    </row>
    <row r="39">
      <c r="B39" s="13" t="inlineStr">
        <is>
          <t>Industry risk override (blank = use sector base from Ref_Weights)</t>
        </is>
      </c>
      <c r="C39" s="17" t="inlineStr"/>
      <c r="F39" s="9" t="inlineStr">
        <is>
          <t>Leave blank to accept the sector's base score; enter 1-6 to override.</t>
        </is>
      </c>
    </row>
    <row r="40">
      <c r="B40" s="13" t="inlineStr">
        <is>
          <t>Business risk / market position score</t>
        </is>
      </c>
      <c r="C40" s="17" t="n">
        <v>4</v>
      </c>
      <c r="D40" t="inlineStr">
        <is>
          <t>4 - reduced scale after the Meerganj divestment (20,500 TCD, from 29,500), single state (western/central UP), and a cyclical, administered-price industry. Partly offset by an integrated distillery at 312.5 KLPD including dual feed.</t>
        </is>
      </c>
      <c r="F40" s="9" t="inlineStr">
        <is>
          <t>Market share, brand/distribution, diversification, pricing power vs peers.</t>
        </is>
      </c>
    </row>
    <row r="41">
      <c r="B41" s="13" t="inlineStr">
        <is>
          <t>Management &amp; governance score</t>
        </is>
      </c>
      <c r="C41" s="17" t="n">
        <v>3</v>
      </c>
      <c r="D41" t="inlineStr">
        <is>
          <t>3 - long-established promoter group and a clean audit report; no governance qualification found. Not better than 3 given the concentration of operations.</t>
        </is>
      </c>
      <c r="F41" s="9" t="inlineStr">
        <is>
          <t>Track record, financial policy/risk appetite, governance, group linkages.</t>
        </is>
      </c>
    </row>
    <row r="42">
      <c r="B42" s="13" t="inlineStr">
        <is>
          <t>Parent/group support notches (+ = uplift, - = drag)</t>
        </is>
      </c>
      <c r="C42" s="17" t="n">
        <v>0</v>
      </c>
      <c r="D42" t="inlineStr">
        <is>
          <t>No parent or group support is claimed. DBOL is a standalone listed issuer.</t>
        </is>
      </c>
      <c r="F42" s="9" t="inlineStr">
        <is>
          <t>Per the agency's parent/group notching criteria; usually 0 to +/-3.</t>
        </is>
      </c>
    </row>
    <row r="43">
      <c r="B43" s="13" t="inlineStr">
        <is>
          <t>Liquidity descriptor</t>
        </is>
      </c>
      <c r="C43" s="6" t="inlineStr">
        <is>
          <t>Adequate</t>
        </is>
      </c>
      <c r="F43" s="9" t="inlineStr">
        <is>
          <t>Superior/Strong lifts ST mapping in overlap bands and improves the composite (Ref_Scales).</t>
        </is>
      </c>
    </row>
    <row r="44">
      <c r="B44" s="13" t="inlineStr">
        <is>
          <t>Outlook</t>
        </is>
      </c>
      <c r="C44" s="6" t="inlineStr">
        <is>
          <t>Positive</t>
        </is>
      </c>
    </row>
    <row r="47">
      <c r="B47" s="10" t="inlineStr">
        <is>
          <t>Financial-sector inputs - fill ONLY if Sector is Bank / NBFC / HFC</t>
        </is>
      </c>
      <c r="F47" s="9" t="inlineStr">
        <is>
          <t>For a financial issuer, leave the corporate financials/projections above at their example values (they are ignored) and fill these instead.</t>
        </is>
      </c>
    </row>
    <row r="48">
      <c r="B48" s="11" t="inlineStr">
        <is>
          <t>Metric</t>
        </is>
      </c>
      <c r="C48" s="15" t="inlineStr">
        <is>
          <t>Latest</t>
        </is>
      </c>
      <c r="D48" s="15" t="inlineStr">
        <is>
          <t>Expected FY+1</t>
        </is>
      </c>
    </row>
    <row r="49">
      <c r="B49" s="13" t="inlineStr">
        <is>
          <t>Capital adequacy - CRAR (%)</t>
        </is>
      </c>
      <c r="C49" s="36" t="n">
        <v>0.16</v>
      </c>
      <c r="D49" s="36" t="n">
        <v>0.158</v>
      </c>
    </row>
    <row r="50">
      <c r="B50" s="13" t="inlineStr">
        <is>
          <t>Gross NPA (%)</t>
        </is>
      </c>
      <c r="C50" s="36" t="n">
        <v>0.025</v>
      </c>
      <c r="D50" s="36" t="n">
        <v>0.022</v>
      </c>
    </row>
    <row r="51">
      <c r="B51" s="13" t="inlineStr">
        <is>
          <t>Net NPA (%)</t>
        </is>
      </c>
      <c r="C51" s="36" t="n">
        <v>0.006</v>
      </c>
      <c r="D51" s="36" t="n">
        <v>0.005</v>
      </c>
    </row>
    <row r="52">
      <c r="B52" s="13" t="inlineStr">
        <is>
          <t>Return on assets - RoA (%)</t>
        </is>
      </c>
      <c r="C52" s="36" t="n">
        <v>0.013</v>
      </c>
      <c r="D52" s="36" t="n">
        <v>0.014</v>
      </c>
    </row>
    <row r="53">
      <c r="B53" s="13" t="inlineStr">
        <is>
          <t>Net interest margin - NIM (%)</t>
        </is>
      </c>
      <c r="C53" s="36" t="n">
        <v>0.033</v>
      </c>
      <c r="D53" s="36" t="n">
        <v>0.033</v>
      </c>
    </row>
    <row r="54">
      <c r="B54" s="13" t="inlineStr">
        <is>
          <t>Cost-to-income (%)</t>
        </is>
      </c>
      <c r="C54" s="36" t="n">
        <v>0.46</v>
      </c>
      <c r="D54" s="36" t="n">
        <v>0.45</v>
      </c>
    </row>
    <row r="55">
      <c r="B55" s="13" t="inlineStr">
        <is>
          <t>Total assets / AUM (Rs crore)</t>
        </is>
      </c>
      <c r="C55" s="35" t="n">
        <v>500000</v>
      </c>
      <c r="D55" s="35" t="n">
        <v>545000</v>
      </c>
    </row>
    <row r="58">
      <c r="B58" s="49" t="inlineStr">
        <is>
          <t>COMMITTEE OVERLAY (Step 17c) - the bridge from the financial anchor to the ASSIGNED rating</t>
        </is>
      </c>
    </row>
    <row r="59">
      <c r="B59" s="50" t="inlineStr">
        <is>
          <t>Adjustment</t>
        </is>
      </c>
      <c r="C59" s="50" t="inlineStr">
        <is>
          <t>Notches (+ improves)</t>
        </is>
      </c>
      <c r="D59" s="50" t="inlineStr">
        <is>
          <t>Justification - REQUIRED whenever notches &lt;&gt; 0</t>
        </is>
      </c>
    </row>
    <row r="60">
      <c r="B60" t="inlineStr">
        <is>
          <t>Sector-metric applicability</t>
        </is>
      </c>
      <c r="C60" s="51" t="n">
        <v>0</v>
      </c>
      <c r="D60" s="51" t="inlineStr">
        <is>
          <t>No sector-metric disapplication. A sugar miller's earnings are accrual-realised, so accrual interest coverage is the correct test and the hard caps stay live.</t>
        </is>
      </c>
      <c r="F60" s="46" t="inlineStr">
        <is>
          <t>Where a scorecard metric is structurally distorted for this sector (e.g. accrual interest coverage for a project-completion real-estate developer), state it here.</t>
        </is>
      </c>
    </row>
    <row r="61">
      <c r="B61" t="inlineStr">
        <is>
          <t>Business / franchise strength beyond the financial composite</t>
        </is>
      </c>
      <c r="C61" s="51" t="n">
        <v>0</v>
      </c>
      <c r="D61" s="51" t="inlineStr">
        <is>
          <t xml:space="preserve">MIGRATED to the business-risk ceiling (Inputs!C69) on 13-Sep-2026. This row previously carried -1 for scale and single-state concentration. Those are Business Risk factors, which CareEdge assesses descriptively with no numeric band, so under failure mode 53 they BOUND the Stage 1 anchor rather than notching it in Stage 2; left here as well they would be counted twice. The migration is arithmetically identical: anchor A+ (index 4) less one notch equals A (index 5), which is the ceiling now set. Superseded text: -1 for scale and single-state concentration the financial composite cannot see: crushing THROUGHPUT fell 41.44 -&gt; 34.98 -&gt; 32.92 lakh tonne (-20.6% in two years), and after the June-2026 Meerganj sale the residual base is two plants in one western/central UP command area - the catchment the red-rot </t>
        </is>
      </c>
      <c r="F61" s="46" t="inlineStr">
        <is>
          <t>Market position, scale or diversification the financial ratios cannot see.</t>
        </is>
      </c>
    </row>
    <row r="62">
      <c r="B62" t="inlineStr">
        <is>
          <t>Parent / group support beyond the Step 12b notch</t>
        </is>
      </c>
      <c r="C62" s="51" t="n">
        <v>0</v>
      </c>
      <c r="D62" s="51" t="inlineStr">
        <is>
          <t>No parent or group support. DBOL is a standalone listed issuer.</t>
        </is>
      </c>
      <c r="F62" s="46" t="inlineStr">
        <is>
          <t>Only the INCREMENT over Inputs!C42, so support is never counted twice.</t>
        </is>
      </c>
    </row>
    <row r="63">
      <c r="B63" t="inlineStr">
        <is>
          <t>Peer benchmarking / calibration</t>
        </is>
      </c>
      <c r="C63" s="51" t="n">
        <v>-2</v>
      </c>
      <c r="D63" s="51" t="inlineStr">
        <is>
          <t>-2 for calibration. The composite is carried by moderate gearing (1.03x) and a stable Rs 1,029.68 crore tangible net worth, and under-weights what binds this credit: interest coverage 2.08x, total debt/GCA 12.67x and net debt/PBILDT 8.06x on a 6.29% PBILDT margin and 3.46% RoCE. The scorecard is a documented screening band that over-rates weaker credits; CareEdge sugar peers at this coverage and leverage sit in BBB, not A.</t>
        </is>
      </c>
      <c r="F63" s="46" t="inlineStr">
        <is>
          <t>Where the anchor sits against this agency's published grades for close peers.</t>
        </is>
      </c>
    </row>
    <row r="64">
      <c r="B64" t="inlineStr">
        <is>
          <t>Other (name it in the justification)</t>
        </is>
      </c>
      <c r="C64" s="51" t="n">
        <v>0</v>
      </c>
      <c r="D64" s="51" t="inlineStr">
        <is>
          <t>None.</t>
        </is>
      </c>
      <c r="F64" s="46" t="inlineStr">
        <is>
          <t>Anything else the Committee relied on. Unnamed adjustments are a defect.</t>
        </is>
      </c>
    </row>
    <row r="66">
      <c r="B66" t="inlineStr">
        <is>
          <t>Committee direct override - assigned index (blank = anchor + overlay)</t>
        </is>
      </c>
      <c r="C66" s="51" t="inlineStr"/>
      <c r="D66" s="51" t="inlineStr"/>
      <c r="F66" s="46" t="inlineStr">
        <is>
          <t>Use ONLY where the Committee sets the grade directly rather than by notching from the anchor. 0 = AAA ... 16 = C. A reason in D66 is required.</t>
        </is>
      </c>
    </row>
    <row r="67">
      <c r="B67" t="inlineStr">
        <is>
          <t>Hard caps apply? (Y / N)</t>
        </is>
      </c>
      <c r="C67" s="51" t="inlineStr">
        <is>
          <t>Y</t>
        </is>
      </c>
      <c r="D67" s="51" t="inlineStr"/>
      <c r="F67" s="46" t="inlineStr">
        <is>
          <t>'N' ONLY where a capped metric is structurally meaningless for this sector - e.g. accrual interest coverage for a project-completion real-estate developer, whose cash coverage is strong while its accrual coverage is negative by construction. A written reason in D67 is REQUIRED and the delivery gate reads it.</t>
        </is>
      </c>
    </row>
    <row r="68">
      <c r="B68" s="71" t="inlineStr">
        <is>
          <t>BUSINESS-RISK GATE (failure mode 53) - business risk BOUNDS the anchor; it is never averaged into it</t>
        </is>
      </c>
    </row>
    <row r="69">
      <c r="B69" t="inlineStr">
        <is>
          <t>Business-risk ceiling grade (blank = no ceiling)</t>
        </is>
      </c>
      <c r="C69" t="inlineStr">
        <is>
          <t>A</t>
        </is>
      </c>
      <c r="D69" t="inlineStr">
        <is>
          <t>Business-risk ceiling A. Scale, throughput and single-state concentration are assessed descriptively in CareEdge's Manufacturing and Sugar methodologies with no numeric band. Evidence: cane crushed fell 41.44 -&gt; 34.98 -&gt; 32.92 lakh tonne, a 20.6% decline over two years - the operating metric, not the 20,500 TCD licensed capacity (failure mode 46); operations are concentrated in a single state and, after the June-2026 Meerganj divestment, across a reduced asset base; and the business is exposed to a cyclical, administered-price sector. On business risk alone this issuer cannot exceed A regardless of its moderate gearing (1.03x) and stable Rs 1,029.68 crore tangible net worth. This ceiling replaces the -1 overlay notch formerly at Inputs!C61 and is arithmetically identical to it; the remaining -2 at Inputs!C63 is a peer-calibration argument about coverage and cash generation, not a business-risk factor, and stays in Stage 2 where it can be seen. Set 13-Sep-2026.</t>
        </is>
      </c>
      <c r="F69" t="inlineStr">
        <is>
          <t>Enter the BEST grade this issuer can reach on its business risk alone (AAA..C), regardless of how strong the financial ratios are - e.g. a single-site, single-product issuer with no pricing power. A written reason in D69 is REQUIRED whenever the gate below reports YES, and the delivery gate reads it. Leaving it blank is a decision, not a default: say in D69 why no ceiling applies.</t>
        </is>
      </c>
    </row>
  </sheetData>
  <mergeCells count="2">
    <mergeCell ref="C4:E4"/>
    <mergeCell ref="C6:E6"/>
  </mergeCells>
  <dataValidations count="5">
    <dataValidation sqref="C5" showDropDown="0" showInputMessage="0" showErrorMessage="0" allowBlank="0" type="list">
      <formula1>"ICRA,CRISIL,CareEdge"</formula1>
    </dataValidation>
    <dataValidation sqref="C6" showDropDown="0" showInputMessage="0" showErrorMessage="0" allowBlank="0" type="list">
      <formula1>=Ref_Weights!$A$5:$A$26</formula1>
    </dataValidation>
    <dataValidation sqref="C43" showDropDown="0" showInputMessage="0" showErrorMessage="0" allowBlank="0" type="list">
      <formula1>=Ref_Scales!$E$5:$E$9</formula1>
    </dataValidation>
    <dataValidation sqref="C44" showDropDown="0" showInputMessage="0" showErrorMessage="0" allowBlank="0" type="list">
      <formula1>=Ref_Scales!$E$12:$E$15</formula1>
    </dataValidation>
    <dataValidation sqref="C39 C40 C41" showDropDown="0" showInputMessage="0" showErrorMessage="0" allowBlank="1" type="whole" operator="between">
      <formula1>1</formula1>
      <formula2>6</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D20"/>
  <sheetViews>
    <sheetView workbookViewId="0">
      <selection activeCell="A1" sqref="A1"/>
    </sheetView>
  </sheetViews>
  <sheetFormatPr baseColWidth="8" defaultRowHeight="15"/>
  <cols>
    <col width="3" customWidth="1" min="1" max="1"/>
    <col width="42" customWidth="1" min="2" max="2"/>
    <col width="14" customWidth="1" min="3" max="3"/>
    <col width="14" customWidth="1" min="4" max="4"/>
    <col width="60" customWidth="1" min="6" max="6"/>
  </cols>
  <sheetData>
    <row r="2">
      <c r="B2" s="1" t="inlineStr">
        <is>
          <t>Projections - future earning potential (all formulas; edit assumptions on Inputs)</t>
        </is>
      </c>
    </row>
    <row r="4">
      <c r="B4" s="11" t="inlineStr">
        <is>
          <t>Rs crore</t>
        </is>
      </c>
      <c r="C4" s="15" t="inlineStr">
        <is>
          <t>FY+1</t>
        </is>
      </c>
      <c r="D4" s="15" t="inlineStr">
        <is>
          <t>FY+2</t>
        </is>
      </c>
    </row>
    <row r="5">
      <c r="B5" s="13" t="inlineStr">
        <is>
          <t>Revenue</t>
        </is>
      </c>
      <c r="C5" s="37">
        <f>Inputs!E12*(1+Inputs!C29)</f>
        <v/>
      </c>
      <c r="D5" s="37">
        <f>C5*(1+Inputs!D29)</f>
        <v/>
      </c>
    </row>
    <row r="6">
      <c r="B6" s="13" t="inlineStr">
        <is>
          <t>EBITDA</t>
        </is>
      </c>
      <c r="C6" s="37">
        <f>C5*Inputs!C30</f>
        <v/>
      </c>
      <c r="D6" s="37">
        <f>D5*Inputs!D30</f>
        <v/>
      </c>
    </row>
    <row r="7">
      <c r="B7" s="13" t="inlineStr">
        <is>
          <t>Depreciation</t>
        </is>
      </c>
      <c r="C7" s="37">
        <f>Inputs!E14</f>
        <v/>
      </c>
      <c r="D7" s="37">
        <f>C7</f>
        <v/>
      </c>
    </row>
    <row r="8">
      <c r="B8" s="13" t="inlineStr">
        <is>
          <t>EBIT</t>
        </is>
      </c>
      <c r="C8" s="37">
        <f>C6-C7</f>
        <v/>
      </c>
      <c r="D8" s="37">
        <f>D6-D7</f>
        <v/>
      </c>
    </row>
    <row r="9">
      <c r="B9" s="13" t="inlineStr">
        <is>
          <t>Total debt (closing)</t>
        </is>
      </c>
      <c r="C9" s="37">
        <f>Inputs!E17+Inputs!C32</f>
        <v/>
      </c>
      <c r="D9" s="37">
        <f>C9+Inputs!D32</f>
        <v/>
      </c>
    </row>
    <row r="10">
      <c r="B10" s="13" t="inlineStr">
        <is>
          <t>Interest expense</t>
        </is>
      </c>
      <c r="C10" s="37">
        <f>AVERAGE(Inputs!E17,C9)*Inputs!C33</f>
        <v/>
      </c>
      <c r="D10" s="37">
        <f>AVERAGE(C9,D9)*Inputs!D33</f>
        <v/>
      </c>
    </row>
    <row r="11">
      <c r="B11" s="13" t="inlineStr">
        <is>
          <t>Profit before tax</t>
        </is>
      </c>
      <c r="C11" s="37">
        <f>C8-C10</f>
        <v/>
      </c>
      <c r="D11" s="37">
        <f>D8-D10</f>
        <v/>
      </c>
    </row>
    <row r="12">
      <c r="B12" s="13" t="inlineStr">
        <is>
          <t>Tax</t>
        </is>
      </c>
      <c r="C12" s="37">
        <f>MAX(C11,0)*Inputs!C34</f>
        <v/>
      </c>
      <c r="D12" s="37">
        <f>MAX(D11,0)*Inputs!D34</f>
        <v/>
      </c>
    </row>
    <row r="13">
      <c r="B13" s="13" t="inlineStr">
        <is>
          <t>PAT</t>
        </is>
      </c>
      <c r="C13" s="37">
        <f>C11-C12</f>
        <v/>
      </c>
      <c r="D13" s="37">
        <f>D11-D12</f>
        <v/>
      </c>
    </row>
    <row r="14">
      <c r="B14" s="13" t="inlineStr">
        <is>
          <t>Gross cash accruals (PAT + Dep)</t>
        </is>
      </c>
      <c r="C14" s="37">
        <f>C13+C7</f>
        <v/>
      </c>
      <c r="D14" s="37">
        <f>D13+D7</f>
        <v/>
      </c>
    </row>
    <row r="15">
      <c r="B15" s="13" t="inlineStr">
        <is>
          <t>Dividends</t>
        </is>
      </c>
      <c r="C15" s="37">
        <f>C13*Inputs!C35</f>
        <v/>
      </c>
      <c r="D15" s="37">
        <f>D13*Inputs!D35</f>
        <v/>
      </c>
    </row>
    <row r="16">
      <c r="B16" s="13" t="inlineStr">
        <is>
          <t>Tangible net worth (closing)</t>
        </is>
      </c>
      <c r="C16" s="37">
        <f>Inputs!E19+C13-C15</f>
        <v/>
      </c>
      <c r="D16" s="37">
        <f>C16+D13-D15</f>
        <v/>
      </c>
    </row>
    <row r="17">
      <c r="B17" s="13" t="inlineStr">
        <is>
          <t>Cash &amp; liquid investments (closing)</t>
        </is>
      </c>
      <c r="C17" s="37">
        <f>Inputs!E18+C14-Inputs!C31-C15+Inputs!C32</f>
        <v/>
      </c>
      <c r="D17" s="37">
        <f>C17+D14-Inputs!D31-D15+Inputs!D32</f>
        <v/>
      </c>
    </row>
    <row r="18">
      <c r="B18" s="13" t="inlineStr">
        <is>
          <t>Free cash flow (GCA - capex - dividends)</t>
        </is>
      </c>
      <c r="C18" s="37">
        <f>C14-Inputs!C31-C15</f>
        <v/>
      </c>
      <c r="D18" s="37">
        <f>D14-Inputs!D31-D15</f>
        <v/>
      </c>
    </row>
    <row r="20">
      <c r="B20" s="9" t="inlineStr">
        <is>
          <t>Interest on average of opening/closing debt. Depreciation held at FY0 level (conservative for flat capex). No equity raising assumed - an unraised issue is not a committed source of funds.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9"/>
  <sheetViews>
    <sheetView workbookViewId="0">
      <selection activeCell="A1" sqref="A1"/>
    </sheetView>
  </sheetViews>
  <sheetFormatPr baseColWidth="8" defaultRowHeight="15"/>
  <cols>
    <col width="3" customWidth="1" min="1" max="1"/>
    <col width="44" customWidth="1" min="2" max="2"/>
    <col width="12" customWidth="1" min="3" max="3"/>
    <col width="12" customWidth="1" min="4" max="4"/>
    <col width="12" customWidth="1" min="5" max="5"/>
    <col width="12" customWidth="1" min="6" max="6"/>
    <col width="12" customWidth="1" min="7" max="7"/>
  </cols>
  <sheetData>
    <row r="2">
      <c r="B2" s="1" t="inlineStr">
        <is>
          <t>Ratios - five years, in the selected agency's conventions</t>
        </is>
      </c>
    </row>
    <row r="3">
      <c r="B3" s="19">
        <f>"Agency: "&amp;Inputs!C5&amp;"   |   EBITDA is labelled "&amp;INDEX(Ref_Scales!I5:I7,MATCH(Inputs!C5,Ref_Scales!H5:H7,0))&amp;" by this agency"</f>
        <v/>
      </c>
    </row>
    <row r="5">
      <c r="B5" s="11" t="inlineStr">
        <is>
          <t>Ratio</t>
        </is>
      </c>
      <c r="C5" s="15">
        <f>Inputs!C11</f>
        <v/>
      </c>
      <c r="D5" s="15">
        <f>Inputs!D11</f>
        <v/>
      </c>
      <c r="E5" s="15">
        <f>Inputs!E11</f>
        <v/>
      </c>
      <c r="F5" s="15" t="inlineStr">
        <is>
          <t>FY+1 (P)</t>
        </is>
      </c>
      <c r="G5" s="15" t="inlineStr">
        <is>
          <t>FY+2 (P)</t>
        </is>
      </c>
    </row>
    <row r="6">
      <c r="B6" s="13" t="inlineStr">
        <is>
          <t>Revenue growth (%)</t>
        </is>
      </c>
      <c r="C6" s="38" t="inlineStr">
        <is>
          <t>n.a.</t>
        </is>
      </c>
      <c r="D6" s="38">
        <f>Inputs!D12/Inputs!C12-1</f>
        <v/>
      </c>
      <c r="E6" s="38">
        <f>Inputs!E12/Inputs!D12-1</f>
        <v/>
      </c>
      <c r="F6" s="38">
        <f>Projections!C5/Inputs!E12-1</f>
        <v/>
      </c>
      <c r="G6" s="38">
        <f>Projections!D5/Projections!C5-1</f>
        <v/>
      </c>
    </row>
    <row r="7">
      <c r="B7" s="13">
        <f>INDEX(Ref_Scales!I5:I7,MATCH(Inputs!C5,Ref_Scales!H5:H7,0))&amp;" margin (%)"</f>
        <v/>
      </c>
      <c r="C7" s="38">
        <f>Inputs!C13/Inputs!C12</f>
        <v/>
      </c>
      <c r="D7" s="38">
        <f>Inputs!D13/Inputs!D12</f>
        <v/>
      </c>
      <c r="E7" s="38">
        <f>Inputs!E13/Inputs!E12</f>
        <v/>
      </c>
      <c r="F7" s="38">
        <f>Projections!C6/Projections!C5</f>
        <v/>
      </c>
      <c r="G7" s="38">
        <f>Projections!D6/Projections!D5</f>
        <v/>
      </c>
    </row>
    <row r="8">
      <c r="B8" s="13" t="inlineStr">
        <is>
          <t>PAT margin (%)</t>
        </is>
      </c>
      <c r="C8" s="38">
        <f>Inputs!C16/Inputs!C12</f>
        <v/>
      </c>
      <c r="D8" s="38">
        <f>Inputs!D16/Inputs!D12</f>
        <v/>
      </c>
      <c r="E8" s="38">
        <f>Inputs!E16/Inputs!E12</f>
        <v/>
      </c>
      <c r="F8" s="38">
        <f>Projections!C13/Projections!C5</f>
        <v/>
      </c>
      <c r="G8" s="38">
        <f>Projections!D13/Projections!D5</f>
        <v/>
      </c>
    </row>
    <row r="9">
      <c r="B9" s="13" t="inlineStr">
        <is>
          <t>ROCE (EBIT / (TD + TNW)) (%)</t>
        </is>
      </c>
      <c r="C9" s="38">
        <f>(Inputs!C13-Inputs!C14)/(Inputs!C17+Inputs!C19)</f>
        <v/>
      </c>
      <c r="D9" s="38">
        <f>(Inputs!D13-Inputs!D14)/(Inputs!D17+Inputs!D19)</f>
        <v/>
      </c>
      <c r="E9" s="38">
        <f>(Inputs!E13-Inputs!E14)/(Inputs!E17+Inputs!E19)</f>
        <v/>
      </c>
      <c r="F9" s="38">
        <f>Projections!C8/(Projections!C9+Projections!C16)</f>
        <v/>
      </c>
      <c r="G9" s="38">
        <f>Projections!D8/(Projections!D9+Projections!D16)</f>
        <v/>
      </c>
    </row>
    <row r="10">
      <c r="B10" s="13">
        <f>"Gearing / overall gearing - Total debt/TNW (x)"</f>
        <v/>
      </c>
      <c r="C10" s="39">
        <f>Inputs!C17/Inputs!C19</f>
        <v/>
      </c>
      <c r="D10" s="39">
        <f>Inputs!D17/Inputs!D19</f>
        <v/>
      </c>
      <c r="E10" s="39">
        <f>Inputs!E17/Inputs!E19</f>
        <v/>
      </c>
      <c r="F10" s="39">
        <f>Projections!C9/Projections!C16</f>
        <v/>
      </c>
      <c r="G10" s="39">
        <f>Projections!D9/Projections!D16</f>
        <v/>
      </c>
    </row>
    <row r="11">
      <c r="B11" s="13" t="inlineStr">
        <is>
          <t>TOL/TNW (x)</t>
        </is>
      </c>
      <c r="C11" s="39">
        <f>Inputs!C20/Inputs!C19</f>
        <v/>
      </c>
      <c r="D11" s="39">
        <f>Inputs!D20/Inputs!D19</f>
        <v/>
      </c>
      <c r="E11" s="39">
        <f>Inputs!E20/Inputs!E19</f>
        <v/>
      </c>
      <c r="F11" s="39" t="inlineStr">
        <is>
          <t>n.a.</t>
        </is>
      </c>
      <c r="G11" s="39" t="inlineStr">
        <is>
          <t>n.a.</t>
        </is>
      </c>
    </row>
    <row r="12">
      <c r="B12" s="13">
        <f>"Total debt/"&amp;INDEX(Ref_Scales!I5:I7,MATCH(Inputs!C5,Ref_Scales!H5:H7,0))&amp;" (x)"</f>
        <v/>
      </c>
      <c r="C12" s="39">
        <f>Inputs!C17/Inputs!C13</f>
        <v/>
      </c>
      <c r="D12" s="39">
        <f>Inputs!D17/Inputs!D13</f>
        <v/>
      </c>
      <c r="E12" s="39">
        <f>Inputs!E17/Inputs!E13</f>
        <v/>
      </c>
      <c r="F12" s="39">
        <f>Projections!C9/Projections!C6</f>
        <v/>
      </c>
      <c r="G12" s="39">
        <f>Projections!D9/Projections!D6</f>
        <v/>
      </c>
    </row>
    <row r="13">
      <c r="B13" s="13" t="inlineStr">
        <is>
          <t>Total debt/GCA (x)</t>
        </is>
      </c>
      <c r="C13" s="39">
        <f>Inputs!C17/(Inputs!C16+Inputs!C14)</f>
        <v/>
      </c>
      <c r="D13" s="39">
        <f>Inputs!D17/(Inputs!D16+Inputs!D14)</f>
        <v/>
      </c>
      <c r="E13" s="39">
        <f>Inputs!E17/(Inputs!E16+Inputs!E14)</f>
        <v/>
      </c>
      <c r="F13" s="39">
        <f>Projections!C9/Projections!C14</f>
        <v/>
      </c>
      <c r="G13" s="39">
        <f>Projections!D9/Projections!D14</f>
        <v/>
      </c>
    </row>
    <row r="14">
      <c r="B14" s="13" t="inlineStr">
        <is>
          <t>Interest coverage (x)</t>
        </is>
      </c>
      <c r="C14" s="39">
        <f>Inputs!C13/Inputs!C15</f>
        <v/>
      </c>
      <c r="D14" s="39">
        <f>Inputs!D13/Inputs!D15</f>
        <v/>
      </c>
      <c r="E14" s="39">
        <f>Inputs!E13/Inputs!E15</f>
        <v/>
      </c>
      <c r="F14" s="39">
        <f>Projections!C6/Projections!C10</f>
        <v/>
      </c>
      <c r="G14" s="39">
        <f>Projections!D6/Projections!D10</f>
        <v/>
      </c>
    </row>
    <row r="15">
      <c r="B15" s="13" t="inlineStr">
        <is>
          <t>GCA/Total debt (x)</t>
        </is>
      </c>
      <c r="C15" s="39">
        <f>(Inputs!C16+Inputs!C14)/Inputs!C17</f>
        <v/>
      </c>
      <c r="D15" s="39">
        <f>(Inputs!D16+Inputs!D14)/Inputs!D17</f>
        <v/>
      </c>
      <c r="E15" s="39">
        <f>(Inputs!E16+Inputs!E14)/Inputs!E17</f>
        <v/>
      </c>
      <c r="F15" s="39">
        <f>Projections!C14/Projections!C9</f>
        <v/>
      </c>
      <c r="G15" s="39">
        <f>Projections!D14/Projections!D9</f>
        <v/>
      </c>
    </row>
    <row r="16">
      <c r="B16" s="13" t="inlineStr">
        <is>
          <t>Current ratio (x)</t>
        </is>
      </c>
      <c r="C16" s="39">
        <f>Inputs!C21/Inputs!C22</f>
        <v/>
      </c>
      <c r="D16" s="39">
        <f>Inputs!D21/Inputs!D22</f>
        <v/>
      </c>
      <c r="E16" s="39">
        <f>Inputs!E21/Inputs!E22</f>
        <v/>
      </c>
      <c r="F16" s="39" t="inlineStr">
        <is>
          <t>n.a.</t>
        </is>
      </c>
      <c r="G16" s="39" t="inlineStr">
        <is>
          <t>n.a.</t>
        </is>
      </c>
    </row>
    <row r="17">
      <c r="B17" s="13" t="inlineStr">
        <is>
          <t>Net debt (TD - cash &amp; liquid) (Rs crore)</t>
        </is>
      </c>
      <c r="C17" s="37">
        <f>Inputs!C17-Inputs!C18</f>
        <v/>
      </c>
      <c r="D17" s="37">
        <f>Inputs!D17-Inputs!D18</f>
        <v/>
      </c>
      <c r="E17" s="37">
        <f>Inputs!E17-Inputs!E18</f>
        <v/>
      </c>
      <c r="F17" s="37">
        <f>Projections!C9-Projections!C17</f>
        <v/>
      </c>
      <c r="G17" s="37">
        <f>Projections!D9-Projections!D17</f>
        <v/>
      </c>
    </row>
    <row r="19">
      <c r="B19" s="9" t="inlineStr">
        <is>
          <t>Guarded denominators: enter non-zero TNW/EBITDA/interest; zero inputs will show Excel errors by design (fix the input, not the formula).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44"/>
  <sheetViews>
    <sheetView workbookViewId="0">
      <selection activeCell="A1" sqref="A1"/>
    </sheetView>
  </sheetViews>
  <sheetFormatPr baseColWidth="8" defaultRowHeight="15"/>
  <cols>
    <col width="3" customWidth="1" min="1" max="1"/>
    <col width="40" customWidth="1" min="2" max="2"/>
    <col width="12" customWidth="1" min="3" max="3"/>
    <col width="12" customWidth="1" min="4" max="4"/>
    <col width="13" customWidth="1" min="5" max="5"/>
    <col width="9" customWidth="1" min="6" max="6"/>
    <col width="9" customWidth="1" min="7" max="7"/>
    <col width="10" customWidth="1" min="8" max="8"/>
    <col width="52" customWidth="1" min="9" max="9"/>
  </cols>
  <sheetData>
    <row r="2">
      <c r="B2" s="1" t="inlineStr">
        <is>
          <t>Scorecard - financial risk auto-scored; qualitative from Inputs; weights by sector</t>
        </is>
      </c>
    </row>
    <row r="4">
      <c r="B4" s="10" t="inlineStr">
        <is>
          <t>1 - Financial risk (assessed on average of FY0 actual and FY+1 projected)</t>
        </is>
      </c>
    </row>
    <row r="5">
      <c r="B5" s="15" t="inlineStr">
        <is>
          <t>Metric</t>
        </is>
      </c>
      <c r="C5" s="15" t="inlineStr">
        <is>
          <t>FY0</t>
        </is>
      </c>
      <c r="D5" s="15" t="inlineStr">
        <is>
          <t>FY+1 (P)</t>
        </is>
      </c>
      <c r="E5" s="15" t="inlineStr">
        <is>
          <t>Assessed</t>
        </is>
      </c>
      <c r="F5" s="15" t="inlineStr">
        <is>
          <t>Score (1-6)</t>
        </is>
      </c>
      <c r="G5" s="15" t="inlineStr">
        <is>
          <t>Weight</t>
        </is>
      </c>
      <c r="H5" s="15" t="inlineStr">
        <is>
          <t>Wtd</t>
        </is>
      </c>
    </row>
    <row r="6">
      <c r="B6" s="13" t="inlineStr">
        <is>
          <t>Interest coverage (x)</t>
        </is>
      </c>
      <c r="C6" s="40">
        <f>Ratios!E14</f>
        <v/>
      </c>
      <c r="D6" s="40">
        <f>Ratios!F14</f>
        <v/>
      </c>
      <c r="E6" s="39">
        <f>AVERAGE(C6:D6)</f>
        <v/>
      </c>
      <c r="F6" s="23">
        <f>IF(Ref_Bands!$B$5="higher",6-COUNTIF(Ref_Bands!$C$5:$G$5,"&lt;="&amp;E6),1+COUNTIF(Ref_Bands!$C$5:$G$5,"&lt;"&amp;E6))</f>
        <v/>
      </c>
      <c r="G6" s="24">
        <f>Ref_Bands!$H$5</f>
        <v/>
      </c>
      <c r="H6" s="25">
        <f>F6*G6</f>
        <v/>
      </c>
      <c r="I6" s="9" t="inlineStr">
        <is>
          <t>Scores 1 (strongest) - 6 (weakest) from Ref_Bands thresholds; current ratio assessed on FY0 only (no projected balance-sheet split).</t>
        </is>
      </c>
    </row>
    <row r="7">
      <c r="B7" s="13" t="inlineStr">
        <is>
          <t>Gearing - TD/TNW (x)</t>
        </is>
      </c>
      <c r="C7" s="40">
        <f>Ratios!E10</f>
        <v/>
      </c>
      <c r="D7" s="40">
        <f>Ratios!F10</f>
        <v/>
      </c>
      <c r="E7" s="39">
        <f>AVERAGE(C7:D7)</f>
        <v/>
      </c>
      <c r="F7" s="23">
        <f>IF(Ref_Bands!$B$6="higher",6-COUNTIF(Ref_Bands!$C$6:$G$6,"&lt;="&amp;E7),1+COUNTIF(Ref_Bands!$C$6:$G$6,"&lt;"&amp;E7))</f>
        <v/>
      </c>
      <c r="G7" s="24">
        <f>Ref_Bands!$H$6</f>
        <v/>
      </c>
      <c r="H7" s="25">
        <f>F7*G7</f>
        <v/>
      </c>
    </row>
    <row r="8">
      <c r="B8" s="13" t="inlineStr">
        <is>
          <t>Total debt/EBITDA (x)</t>
        </is>
      </c>
      <c r="C8" s="40">
        <f>Ratios!E12</f>
        <v/>
      </c>
      <c r="D8" s="40">
        <f>Ratios!F12</f>
        <v/>
      </c>
      <c r="E8" s="39">
        <f>AVERAGE(C8:D8)</f>
        <v/>
      </c>
      <c r="F8" s="23">
        <f>IF(Ref_Bands!$B$7="higher",6-COUNTIF(Ref_Bands!$C$7:$G$7,"&lt;="&amp;E8),1+COUNTIF(Ref_Bands!$C$7:$G$7,"&lt;"&amp;E8))</f>
        <v/>
      </c>
      <c r="G8" s="24">
        <f>Ref_Bands!$H$7</f>
        <v/>
      </c>
      <c r="H8" s="25">
        <f>F8*G8</f>
        <v/>
      </c>
    </row>
    <row r="9">
      <c r="B9" s="13" t="inlineStr">
        <is>
          <t>EBITDA margin (fraction)</t>
        </is>
      </c>
      <c r="C9" s="41">
        <f>Ratios!E7</f>
        <v/>
      </c>
      <c r="D9" s="41">
        <f>Ratios!F7</f>
        <v/>
      </c>
      <c r="E9" s="38">
        <f>AVERAGE(C9:D9)</f>
        <v/>
      </c>
      <c r="F9" s="23">
        <f>IF(Ref_Bands!$B$8="higher",6-COUNTIF(Ref_Bands!$C$8:$G$8,"&lt;="&amp;E9),1+COUNTIF(Ref_Bands!$C$8:$G$8,"&lt;"&amp;E9))</f>
        <v/>
      </c>
      <c r="G9" s="24">
        <f>Ref_Bands!$H$8</f>
        <v/>
      </c>
      <c r="H9" s="25">
        <f>F9*G9</f>
        <v/>
      </c>
    </row>
    <row r="10">
      <c r="B10" s="13" t="inlineStr">
        <is>
          <t>GCA/Total debt (x)</t>
        </is>
      </c>
      <c r="C10" s="40">
        <f>Ratios!E15</f>
        <v/>
      </c>
      <c r="D10" s="40">
        <f>Ratios!F15</f>
        <v/>
      </c>
      <c r="E10" s="39">
        <f>AVERAGE(C10:D10)</f>
        <v/>
      </c>
      <c r="F10" s="23">
        <f>IF(Ref_Bands!$B$9="higher",6-COUNTIF(Ref_Bands!$C$9:$G$9,"&lt;="&amp;E10),1+COUNTIF(Ref_Bands!$C$9:$G$9,"&lt;"&amp;E10))</f>
        <v/>
      </c>
      <c r="G10" s="24">
        <f>Ref_Bands!$H$9</f>
        <v/>
      </c>
      <c r="H10" s="25">
        <f>F10*G10</f>
        <v/>
      </c>
    </row>
    <row r="11">
      <c r="B11" s="13" t="inlineStr">
        <is>
          <t>Current ratio (x)</t>
        </is>
      </c>
      <c r="C11" s="40">
        <f>Ratios!E16</f>
        <v/>
      </c>
      <c r="D11" s="40">
        <f>Ratios!E16</f>
        <v/>
      </c>
      <c r="E11" s="39">
        <f>AVERAGE(C11:D11)</f>
        <v/>
      </c>
      <c r="F11" s="23">
        <f>IF(Ref_Bands!$B$10="higher",6-COUNTIF(Ref_Bands!$C$10:$G$10,"&lt;="&amp;E11),1+COUNTIF(Ref_Bands!$C$10:$G$10,"&lt;"&amp;E11))</f>
        <v/>
      </c>
      <c r="G11" s="24">
        <f>Ref_Bands!$H$10</f>
        <v/>
      </c>
      <c r="H11" s="25">
        <f>F11*G11</f>
        <v/>
      </c>
    </row>
    <row r="12">
      <c r="B12" s="5" t="inlineStr">
        <is>
          <t>Financial risk score</t>
        </is>
      </c>
      <c r="E12" s="27" t="inlineStr"/>
      <c r="F12" s="28">
        <f>SUM(H6:H11)/SUM(G6:G11)</f>
        <v/>
      </c>
    </row>
    <row r="15">
      <c r="B15" s="10" t="inlineStr">
        <is>
          <t>2 - Risk blocks and sector weights</t>
        </is>
      </c>
    </row>
    <row r="16">
      <c r="B16" s="15" t="inlineStr">
        <is>
          <t>Block</t>
        </is>
      </c>
      <c r="C16" s="15" t="inlineStr">
        <is>
          <t>Score (1-6)</t>
        </is>
      </c>
      <c r="D16" s="15" t="inlineStr">
        <is>
          <t>Sector weight</t>
        </is>
      </c>
      <c r="E16" s="15" t="inlineStr">
        <is>
          <t>Weighted</t>
        </is>
      </c>
    </row>
    <row r="17">
      <c r="B17" s="13" t="inlineStr">
        <is>
          <t>Industry / operating-environment risk</t>
        </is>
      </c>
      <c r="C17" s="25">
        <f>IF(Inputs!C39&lt;&gt;"",Inputs!C39,INDEX(Ref_Weights!$B$5:$B$26,MATCH(Inputs!$C$6,Ref_Weights!$A$5:$A$26,0)))</f>
        <v/>
      </c>
      <c r="D17" s="24">
        <f>INDEX(Ref_Weights!$C$5:$C$26,MATCH(Inputs!$C$6,Ref_Weights!$A$5:$A$26,0))</f>
        <v/>
      </c>
      <c r="E17" s="25">
        <f>C17*D17</f>
        <v/>
      </c>
    </row>
    <row r="18">
      <c r="B18" s="13" t="inlineStr">
        <is>
          <t>Business risk / market position / franchise</t>
        </is>
      </c>
      <c r="C18" s="25">
        <f>Inputs!C40</f>
        <v/>
      </c>
      <c r="D18" s="24">
        <f>INDEX(Ref_Weights!$D$5:$D$26,MATCH(Inputs!$C$6,Ref_Weights!$A$5:$A$26,0))</f>
        <v/>
      </c>
      <c r="E18" s="25">
        <f>C18*D18</f>
        <v/>
      </c>
    </row>
    <row r="19">
      <c r="B19" s="13" t="inlineStr">
        <is>
          <t>Financial risk (auto: corporate OR financial-sector)</t>
        </is>
      </c>
      <c r="C19" s="25">
        <f>IF(INDEX(Ref_Weights!$H$5:$H$26,MATCH(Inputs!$C$6,Ref_Weights!$A$5:$A$26,0))="Corporate",F12,F35)</f>
        <v/>
      </c>
      <c r="D19" s="24">
        <f>INDEX(Ref_Weights!$E$5:$E$26,MATCH(Inputs!$C$6,Ref_Weights!$A$5:$A$26,0))</f>
        <v/>
      </c>
      <c r="E19" s="25">
        <f>C19*D19</f>
        <v/>
      </c>
    </row>
    <row r="20">
      <c r="B20" s="13" t="inlineStr">
        <is>
          <t>Management &amp; governance</t>
        </is>
      </c>
      <c r="C20" s="25">
        <f>Inputs!C41</f>
        <v/>
      </c>
      <c r="D20" s="24">
        <f>INDEX(Ref_Weights!$F$5:$F$26,MATCH(Inputs!$C$6,Ref_Weights!$A$5:$A$26,0))</f>
        <v/>
      </c>
      <c r="E20" s="25">
        <f>C20*D20</f>
        <v/>
      </c>
    </row>
    <row r="22">
      <c r="B22" s="5" t="inlineStr">
        <is>
          <t>Composite score (weighted)</t>
        </is>
      </c>
      <c r="E22" s="28">
        <f>SUM(E17:E20)/SUM(D17:D20)</f>
        <v/>
      </c>
    </row>
    <row r="23">
      <c r="B23" s="13" t="inlineStr">
        <is>
          <t>Liquidity adjustment</t>
        </is>
      </c>
      <c r="E23" s="24">
        <f>INDEX(Ref_Scales!$F$5:$F$9,MATCH(Inputs!$C$43,Ref_Scales!$E$5:$E$9,0))</f>
        <v/>
      </c>
    </row>
    <row r="24">
      <c r="B24" s="5" t="inlineStr">
        <is>
          <t>Adjusted composite (1 = best, 6 = worst)</t>
        </is>
      </c>
      <c r="E24" s="28">
        <f>MIN(6,MAX(1,E22+E23))</f>
        <v/>
      </c>
    </row>
    <row r="27">
      <c r="B27" s="10" t="inlineStr">
        <is>
          <t>1b - Financial-sector risk (banks / NBFCs / HFCs) - used only when Sector Type is not Corporate</t>
        </is>
      </c>
    </row>
    <row r="28">
      <c r="B28" s="15" t="inlineStr">
        <is>
          <t>Metric</t>
        </is>
      </c>
      <c r="C28" s="15" t="inlineStr">
        <is>
          <t>Latest</t>
        </is>
      </c>
      <c r="D28" s="15" t="inlineStr">
        <is>
          <t>Expected</t>
        </is>
      </c>
      <c r="E28" s="15" t="inlineStr">
        <is>
          <t>Assessed</t>
        </is>
      </c>
      <c r="F28" s="15" t="inlineStr">
        <is>
          <t>Score (1-6)</t>
        </is>
      </c>
      <c r="G28" s="15" t="inlineStr">
        <is>
          <t>Weight</t>
        </is>
      </c>
      <c r="H28" s="15" t="inlineStr">
        <is>
          <t>Wtd</t>
        </is>
      </c>
    </row>
    <row r="29">
      <c r="B29" s="13" t="inlineStr">
        <is>
          <t>Capital adequacy - CRAR (%)</t>
        </is>
      </c>
      <c r="C29" s="41">
        <f>Inputs!C49</f>
        <v/>
      </c>
      <c r="D29" s="41">
        <f>Inputs!D49</f>
        <v/>
      </c>
      <c r="E29" s="38">
        <f>AVERAGE(C29:D29)</f>
        <v/>
      </c>
      <c r="F29" s="23">
        <f>IF(Ref_Bands_Fin!$B$5="higher",6-COUNTIF(Ref_Bands_Fin!$C$5:$G$5,"&lt;="&amp;E29),1+COUNTIF(Ref_Bands_Fin!$C$5:$G$5,"&lt;"&amp;E29))</f>
        <v/>
      </c>
      <c r="G29" s="24">
        <f>Ref_Bands_Fin!$H$5</f>
        <v/>
      </c>
      <c r="H29" s="25">
        <f>F29*G29</f>
        <v/>
      </c>
    </row>
    <row r="30">
      <c r="B30" s="13" t="inlineStr">
        <is>
          <t>Gross NPA (%)</t>
        </is>
      </c>
      <c r="C30" s="41">
        <f>Inputs!C50</f>
        <v/>
      </c>
      <c r="D30" s="41">
        <f>Inputs!D50</f>
        <v/>
      </c>
      <c r="E30" s="38">
        <f>AVERAGE(C30:D30)</f>
        <v/>
      </c>
      <c r="F30" s="23">
        <f>IF(Ref_Bands_Fin!$B$6="higher",6-COUNTIF(Ref_Bands_Fin!$C$6:$G$6,"&lt;="&amp;E30),1+COUNTIF(Ref_Bands_Fin!$C$6:$G$6,"&lt;"&amp;E30))</f>
        <v/>
      </c>
      <c r="G30" s="24">
        <f>Ref_Bands_Fin!$H$6</f>
        <v/>
      </c>
      <c r="H30" s="25">
        <f>F30*G30</f>
        <v/>
      </c>
    </row>
    <row r="31">
      <c r="B31" s="13" t="inlineStr">
        <is>
          <t>Net NPA (%)</t>
        </is>
      </c>
      <c r="C31" s="41">
        <f>Inputs!C51</f>
        <v/>
      </c>
      <c r="D31" s="41">
        <f>Inputs!D51</f>
        <v/>
      </c>
      <c r="E31" s="38">
        <f>AVERAGE(C31:D31)</f>
        <v/>
      </c>
      <c r="F31" s="23">
        <f>IF(Ref_Bands_Fin!$B$7="higher",6-COUNTIF(Ref_Bands_Fin!$C$7:$G$7,"&lt;="&amp;E31),1+COUNTIF(Ref_Bands_Fin!$C$7:$G$7,"&lt;"&amp;E31))</f>
        <v/>
      </c>
      <c r="G31" s="24">
        <f>Ref_Bands_Fin!$H$7</f>
        <v/>
      </c>
      <c r="H31" s="25">
        <f>F31*G31</f>
        <v/>
      </c>
    </row>
    <row r="32">
      <c r="B32" s="13" t="inlineStr">
        <is>
          <t>Return on assets - RoA (%)</t>
        </is>
      </c>
      <c r="C32" s="41">
        <f>Inputs!C52</f>
        <v/>
      </c>
      <c r="D32" s="41">
        <f>Inputs!D52</f>
        <v/>
      </c>
      <c r="E32" s="38">
        <f>AVERAGE(C32:D32)</f>
        <v/>
      </c>
      <c r="F32" s="23">
        <f>IF(Ref_Bands_Fin!$B$8="higher",6-COUNTIF(Ref_Bands_Fin!$C$8:$G$8,"&lt;="&amp;E32),1+COUNTIF(Ref_Bands_Fin!$C$8:$G$8,"&lt;"&amp;E32))</f>
        <v/>
      </c>
      <c r="G32" s="24">
        <f>Ref_Bands_Fin!$H$8</f>
        <v/>
      </c>
      <c r="H32" s="25">
        <f>F32*G32</f>
        <v/>
      </c>
    </row>
    <row r="33">
      <c r="B33" s="13" t="inlineStr">
        <is>
          <t>Net interest margin - NIM (%)</t>
        </is>
      </c>
      <c r="C33" s="41">
        <f>Inputs!C53</f>
        <v/>
      </c>
      <c r="D33" s="41">
        <f>Inputs!D53</f>
        <v/>
      </c>
      <c r="E33" s="38">
        <f>AVERAGE(C33:D33)</f>
        <v/>
      </c>
      <c r="F33" s="23">
        <f>IF(Ref_Bands_Fin!$B$9="higher",6-COUNTIF(Ref_Bands_Fin!$C$9:$G$9,"&lt;="&amp;E33),1+COUNTIF(Ref_Bands_Fin!$C$9:$G$9,"&lt;"&amp;E33))</f>
        <v/>
      </c>
      <c r="G33" s="24">
        <f>Ref_Bands_Fin!$H$9</f>
        <v/>
      </c>
      <c r="H33" s="25">
        <f>F33*G33</f>
        <v/>
      </c>
    </row>
    <row r="34">
      <c r="B34" s="13" t="inlineStr">
        <is>
          <t>Cost-to-income (%)</t>
        </is>
      </c>
      <c r="C34" s="41">
        <f>Inputs!C54</f>
        <v/>
      </c>
      <c r="D34" s="41">
        <f>Inputs!D54</f>
        <v/>
      </c>
      <c r="E34" s="38">
        <f>AVERAGE(C34:D34)</f>
        <v/>
      </c>
      <c r="F34" s="23">
        <f>IF(Ref_Bands_Fin!$B$10="higher",6-COUNTIF(Ref_Bands_Fin!$C$10:$G$10,"&lt;="&amp;E34),1+COUNTIF(Ref_Bands_Fin!$C$10:$G$10,"&lt;"&amp;E34))</f>
        <v/>
      </c>
      <c r="G34" s="24">
        <f>Ref_Bands_Fin!$H$10</f>
        <v/>
      </c>
      <c r="H34" s="25">
        <f>F34*G34</f>
        <v/>
      </c>
    </row>
    <row r="35">
      <c r="B35" s="5" t="inlineStr">
        <is>
          <t>Financial-sector risk score</t>
        </is>
      </c>
      <c r="F35" s="28">
        <f>SUM(H29:H34)/SUM(G29:G34)</f>
        <v/>
      </c>
    </row>
    <row r="37">
      <c r="B37" s="71" t="inlineStr">
        <is>
          <t>3 - BUSINESS-RISK GATE (failure mode 53)</t>
        </is>
      </c>
    </row>
    <row r="38">
      <c r="B38" t="inlineStr">
        <is>
          <t>Neither ICRA nor CareEdge publishes a business-risk-to-notch formula. Their Financial Risk factors carry numeric bands; their Business Risk factors are descriptive only. So business risk sets a CEILING here - it is not scored into the Stage 1 composite above.</t>
        </is>
      </c>
    </row>
    <row r="39">
      <c r="B39" t="inlineStr">
        <is>
          <t>Business risk score (1-6)</t>
        </is>
      </c>
      <c r="C39">
        <f>C18</f>
        <v/>
      </c>
    </row>
    <row r="40">
      <c r="B40" t="inlineStr">
        <is>
          <t>Financial risk score (1-6)</t>
        </is>
      </c>
      <c r="C40">
        <f>C19</f>
        <v/>
      </c>
    </row>
    <row r="41">
      <c r="B41" t="inlineStr">
        <is>
          <t>Business weaker than financial by</t>
        </is>
      </c>
      <c r="C41">
        <f>C39-C40</f>
        <v/>
      </c>
    </row>
    <row r="42">
      <c r="B42" t="inlineStr">
        <is>
          <t>GATE</t>
        </is>
      </c>
      <c r="C42">
        <f>IF(C41&gt;=2,"YES - set a ceiling in Inputs!C69 or state in Inputs!D69 why none applies","No - business and financial risk agree within one band")</f>
        <v/>
      </c>
    </row>
    <row r="43">
      <c r="B43" t="inlineStr">
        <is>
          <t>Ceiling grade entered (Inputs!C69)</t>
        </is>
      </c>
      <c r="C43">
        <f>Inputs!C69</f>
        <v/>
      </c>
      <c r="D43">
        <f>Inputs!D69</f>
        <v/>
      </c>
    </row>
    <row r="44">
      <c r="B44" t="inlineStr">
        <is>
          <t>Ceiling index (0 = none/AAA ... 16 = C)</t>
        </is>
      </c>
      <c r="C44">
        <f>IF(Inputs!C69="",0,IFERROR(MATCH(Inputs!C69,Ref_Scales!$A$5:$A$21,0)-1,0))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74"/>
  <sheetViews>
    <sheetView workbookViewId="0">
      <selection activeCell="A1" sqref="A1"/>
    </sheetView>
  </sheetViews>
  <sheetFormatPr baseColWidth="8" defaultRowHeight="15"/>
  <cols>
    <col width="3" customWidth="1" min="1" max="1"/>
    <col width="62" customWidth="1" min="2" max="2"/>
    <col width="30" customWidth="1" min="3" max="3"/>
    <col width="62" customWidth="1" min="4" max="4"/>
    <col width="14" customWidth="1" min="5" max="5"/>
    <col width="18" customWidth="1" min="6" max="6"/>
  </cols>
  <sheetData>
    <row r="2">
      <c r="B2" s="52" t="inlineStr">
        <is>
          <t>ASSIGNED RATING   -   this is the rating the rationale must state</t>
        </is>
      </c>
    </row>
    <row r="3">
      <c r="B3" t="inlineStr">
        <is>
          <t>Long-term</t>
        </is>
      </c>
      <c r="C3" s="53">
        <f>C36</f>
        <v/>
      </c>
    </row>
    <row r="4">
      <c r="B4" s="19" t="inlineStr">
        <is>
          <t>Short-term</t>
        </is>
      </c>
      <c r="C4" s="53">
        <f>C37</f>
        <v/>
      </c>
    </row>
    <row r="5">
      <c r="B5" t="inlineStr">
        <is>
          <t>Combined</t>
        </is>
      </c>
      <c r="C5" s="54">
        <f>C38</f>
        <v/>
      </c>
    </row>
    <row r="6">
      <c r="B6" s="55">
        <f>"Issuer: "&amp;Inputs!C4&amp;"   |   Agency: "&amp;Inputs!C5&amp;"   |   Sector: "&amp;Inputs!C6</f>
        <v/>
      </c>
      <c r="C6" s="25" t="n"/>
      <c r="E6" s="13" t="inlineStr">
        <is>
          <t>Sector type</t>
        </is>
      </c>
      <c r="F6" s="13">
        <f>INDEX(Ref_Weights!$H$5:$H$26,MATCH(Inputs!$C$6,Ref_Weights!$A$5:$A$26,0))</f>
        <v/>
      </c>
    </row>
    <row r="7">
      <c r="B7" s="56" t="inlineStr">
        <is>
          <t>Derived below: STAGE 1 financial anchor  -&gt;  STAGE 2 committee overlay  -&gt;  STAGE 3 assigned rating. Every step is computed on this sheet.</t>
        </is>
      </c>
      <c r="C7" s="23" t="n"/>
    </row>
    <row r="8">
      <c r="B8" s="13" t="n"/>
      <c r="C8" s="23" t="n"/>
    </row>
    <row r="9">
      <c r="B9" s="57" t="inlineStr">
        <is>
          <t>STAGE 1 - FINANCIAL ANCHOR   (screening view, computed from audited financials alone)</t>
        </is>
      </c>
      <c r="C9" s="23" t="n"/>
    </row>
    <row r="10">
      <c r="B10" s="13" t="inlineStr">
        <is>
          <t>Adjusted composite score</t>
        </is>
      </c>
      <c r="C10" s="13">
        <f>Scorecard!E24</f>
        <v/>
      </c>
    </row>
    <row r="11">
      <c r="B11" s="13" t="inlineStr">
        <is>
          <t>Scale index before notches (0 = AAA ... 19 = D)</t>
        </is>
      </c>
      <c r="C11" s="23">
        <f>MIN(19,MAX(0,ROUND(16*((C10-1)/5)^1.4,0)))</f>
        <v/>
      </c>
      <c r="D11" s="58" t="inlineStr">
        <is>
          <t>back-tested map (18-Jul-2026): power p=1.4, zero bias, reliable to about +/-2 notches as a SCREEN</t>
        </is>
      </c>
    </row>
    <row r="12">
      <c r="B12" s="5" t="inlineStr">
        <is>
          <t>Support notches entered at Step 12b (+ improves)</t>
        </is>
      </c>
      <c r="C12" s="29">
        <f>Inputs!C42</f>
        <v/>
      </c>
    </row>
    <row r="13">
      <c r="B13" s="5" t="inlineStr">
        <is>
          <t>Index after support notches</t>
        </is>
      </c>
      <c r="C13" s="29">
        <f>MIN(19,MAX(0,C11-C12))</f>
        <v/>
      </c>
    </row>
    <row r="14">
      <c r="B14" t="inlineStr">
        <is>
          <t>Hard cap tested</t>
        </is>
      </c>
      <c r="C14">
        <f>IF(Inputs!C67="N","DISAPPLIED for this issuer - reason in Inputs!D67",IF(F6="Corporate",IF(Inputs!E19&lt;0,"Negative net worth: capped at B-",IF(Ratios!E14&lt;1,"Coverage &lt;1x: capped at B+","None")),IF(Inputs!C49&lt;0.09,"CRAR below 9%: capped at BB+","None")))</f>
        <v/>
      </c>
      <c r="D14" s="59">
        <f>IF(Inputs!C67="N",Inputs!D67,"(cap applies - not disapplied)")</f>
        <v/>
      </c>
    </row>
    <row r="15">
      <c r="B15" t="inlineStr">
        <is>
          <t>ANCHOR INDEX (after caps)</t>
        </is>
      </c>
      <c r="C15" s="50">
        <f>MAX(IF(Inputs!C67="N",C13,IF(F6="Corporate",IF(Inputs!E19&lt;0,MAX(C13,15),IF(Ratios!E14&lt;1,MAX(C13,13),C13)),IF(Inputs!C49&lt;0.09,MAX(C13,10),C13))),Scorecard!C44)</f>
        <v/>
      </c>
    </row>
    <row r="16">
      <c r="B16" s="10" t="inlineStr">
        <is>
          <t>Anchor long-term grade</t>
        </is>
      </c>
      <c r="C16">
        <f>INDEX(Ref_Scales!$A$5:$A$24,C15+1)</f>
        <v/>
      </c>
    </row>
    <row r="17">
      <c r="B17" s="13" t="inlineStr">
        <is>
          <t>Anchor short-term grade</t>
        </is>
      </c>
      <c r="C17" s="29">
        <f>IF(OR(Inputs!$C$43="Superior",Inputs!$C$43="Strong"),INDEX(Ref_Scales!$C$5:$C$24,C15+1),INDEX(Ref_Scales!$B$5:$B$24,C15+1))</f>
        <v/>
      </c>
    </row>
    <row r="18">
      <c r="B18" s="13" t="inlineStr">
        <is>
          <t>Anchor line  (a SCREEN, not the rating)</t>
        </is>
      </c>
      <c r="C18" s="60">
        <f>C16&amp;" / "&amp;C17</f>
        <v/>
      </c>
    </row>
    <row r="19" ht="24" customHeight="1">
      <c r="B19" s="13" t="inlineStr">
        <is>
          <t>Stage 1 is bounded above by the business-risk ceiling (Scorecard!B37) - a ceiling on the grade is a floor on the index, so it is applied to C15 as a MAX. With no ceiling set it has no effect.</t>
        </is>
      </c>
      <c r="C19" s="30" t="n"/>
    </row>
    <row r="20">
      <c r="B20" s="61" t="inlineStr">
        <is>
          <t>STAGE 2 - COMMITTEE OVERLAY   (Step 17c: what the anchor cannot see)</t>
        </is>
      </c>
      <c r="C20" s="49" t="inlineStr">
        <is>
          <t>Notches</t>
        </is>
      </c>
      <c r="D20" s="49" t="inlineStr">
        <is>
          <t>Justification</t>
        </is>
      </c>
    </row>
    <row r="21">
      <c r="B21" t="inlineStr">
        <is>
          <t>Sector-metric applicability</t>
        </is>
      </c>
      <c r="C21">
        <f>Inputs!C60</f>
        <v/>
      </c>
      <c r="D21" s="46">
        <f>Inputs!D60</f>
        <v/>
      </c>
    </row>
    <row r="22">
      <c r="B22" s="10" t="inlineStr">
        <is>
          <t>Business / franchise strength beyond the financial composite</t>
        </is>
      </c>
      <c r="C22">
        <f>Inputs!C61</f>
        <v/>
      </c>
      <c r="D22" s="46">
        <f>Inputs!D61</f>
        <v/>
      </c>
    </row>
    <row r="23">
      <c r="B23" s="15" t="inlineStr">
        <is>
          <t>Parent / group support beyond the Step 12b notch</t>
        </is>
      </c>
      <c r="C23" s="15">
        <f>Inputs!C62</f>
        <v/>
      </c>
      <c r="D23" s="62">
        <f>Inputs!D62</f>
        <v/>
      </c>
    </row>
    <row r="24">
      <c r="B24" s="13" t="inlineStr">
        <is>
          <t>Peer benchmarking / calibration</t>
        </is>
      </c>
      <c r="C24" s="42">
        <f>Inputs!C63</f>
        <v/>
      </c>
      <c r="D24" s="63">
        <f>Inputs!D63</f>
        <v/>
      </c>
    </row>
    <row r="25">
      <c r="B25" s="13" t="inlineStr">
        <is>
          <t>Other (name it in the justification)</t>
        </is>
      </c>
      <c r="C25" s="42">
        <f>Inputs!C64</f>
        <v/>
      </c>
      <c r="D25" s="63">
        <f>Inputs!D64</f>
        <v/>
      </c>
    </row>
    <row r="26">
      <c r="B26" s="13" t="inlineStr">
        <is>
          <t>Total overlay notches (+ improves)</t>
        </is>
      </c>
      <c r="C26" s="64">
        <f>SUM(C21:C25)</f>
        <v/>
      </c>
      <c r="D26" s="42" t="n"/>
    </row>
    <row r="27">
      <c r="B27" s="13" t="inlineStr">
        <is>
          <t>Index after overlay</t>
        </is>
      </c>
      <c r="C27" s="42">
        <f>MIN(19,MAX(0,C15-C26))</f>
        <v/>
      </c>
      <c r="D27" s="42" t="n"/>
    </row>
    <row r="28">
      <c r="B28" s="13" t="n"/>
      <c r="C28" s="42" t="n"/>
      <c r="D28" s="42" t="n"/>
    </row>
    <row r="29">
      <c r="B29" s="65" t="inlineStr">
        <is>
          <t>STAGE 3 - ASSIGNED RATING   (the Committee's decision - what the rationale states)</t>
        </is>
      </c>
      <c r="C29" s="40" t="n"/>
      <c r="D29" s="40" t="n"/>
    </row>
    <row r="30">
      <c r="B30" s="13" t="inlineStr">
        <is>
          <t>Committee direct override index (blank = anchor + overlay)</t>
        </is>
      </c>
      <c r="C30" s="40">
        <f>IF(Inputs!C66="","(none)",Inputs!C66)</f>
        <v/>
      </c>
      <c r="D30" s="66">
        <f>Inputs!D66</f>
        <v/>
      </c>
    </row>
    <row r="31">
      <c r="B31" s="13" t="inlineStr">
        <is>
          <t>ASSIGNED INDEX</t>
        </is>
      </c>
      <c r="C31" s="64">
        <f>IF(Inputs!C66="",C27,Inputs!C66)</f>
        <v/>
      </c>
      <c r="D31" s="42" t="n"/>
    </row>
    <row r="32">
      <c r="B32" t="inlineStr">
        <is>
          <t>Assigned long-term grade</t>
        </is>
      </c>
      <c r="C32" s="50">
        <f>INDEX(Ref_Scales!$A$5:$A$24,C31+1)</f>
        <v/>
      </c>
    </row>
    <row r="33">
      <c r="B33" s="9" t="inlineStr">
        <is>
          <t>Assigned short-term grade</t>
        </is>
      </c>
      <c r="C33">
        <f>IF(OR(Inputs!$C$43="Superior",Inputs!$C$43="Strong"),INDEX(Ref_Scales!$C$5:$C$24,C31+1),INDEX(Ref_Scales!$B$5:$B$24,C31+1))</f>
        <v/>
      </c>
    </row>
    <row r="34">
      <c r="B34" t="inlineStr">
        <is>
          <t>Divergence, anchor -&gt; assigned (notches)</t>
        </is>
      </c>
      <c r="C34">
        <f>C15-C31</f>
        <v/>
      </c>
      <c r="D34" s="59">
        <f>IF(C34=0,"None - the anchor and the assigned rating agree.","COMPUTED, not typed. Stage 2 must carry a justification for every notch of this. The rationale quotes THIS number.")</f>
        <v/>
      </c>
    </row>
    <row r="36">
      <c r="B36" t="inlineStr">
        <is>
          <t>Assigned long-term line (agency house style)</t>
        </is>
      </c>
      <c r="C36">
        <f>IF(Inputs!C5="ICRA","[ICRA]"&amp;C32&amp;IF(AND(Inputs!C44&lt;&gt;"Not applicable",LEFT(C32,1)&lt;&gt;"C",LEFT(C32,1)&lt;&gt;"D")," ("&amp;Inputs!C44&amp;")",""),IF(Inputs!C5="CRISIL","Crisil "&amp;C32&amp;IF(AND(Inputs!C44&lt;&gt;"Not applicable",LEFT(C32,1)&lt;&gt;"C",LEFT(C32,1)&lt;&gt;"D"),"/"&amp;Inputs!C44,""),"CARE "&amp;C32&amp;IF(AND(Inputs!C44&lt;&gt;"Not applicable",LEFT(C32,1)&lt;&gt;"C",LEFT(C32,1)&lt;&gt;"D"),"; "&amp;Inputs!C44,"")))</f>
        <v/>
      </c>
    </row>
    <row r="37">
      <c r="B37" t="inlineStr">
        <is>
          <t>Assigned short-term line</t>
        </is>
      </c>
      <c r="C37">
        <f>IF(Inputs!C5="ICRA","[ICRA]"&amp;C33,IF(Inputs!C5="CRISIL","Crisil "&amp;C33,"CARE "&amp;C33))</f>
        <v/>
      </c>
    </row>
    <row r="38">
      <c r="B38" t="inlineStr">
        <is>
          <t>Assigned combined</t>
        </is>
      </c>
      <c r="C38">
        <f>C36&amp;" / "&amp;C37</f>
        <v/>
      </c>
    </row>
    <row r="40">
      <c r="B40" s="50" t="inlineStr">
        <is>
          <t>Future earning potential (from Projections)</t>
        </is>
      </c>
    </row>
    <row r="41">
      <c r="B41" t="inlineStr">
        <is>
          <t>Rs crore / x</t>
        </is>
      </c>
      <c r="C41" t="inlineStr">
        <is>
          <t>FY+1</t>
        </is>
      </c>
      <c r="D41" t="inlineStr">
        <is>
          <t>FY+2</t>
        </is>
      </c>
    </row>
    <row r="42">
      <c r="B42" t="inlineStr">
        <is>
          <t>Revenue</t>
        </is>
      </c>
      <c r="C42">
        <f>Projections!C5</f>
        <v/>
      </c>
      <c r="D42">
        <f>Projections!D5</f>
        <v/>
      </c>
    </row>
    <row r="43">
      <c r="B43" t="inlineStr">
        <is>
          <t>EBITDA</t>
        </is>
      </c>
      <c r="C43">
        <f>Projections!C6</f>
        <v/>
      </c>
      <c r="D43">
        <f>Projections!D6</f>
        <v/>
      </c>
    </row>
    <row r="44">
      <c r="B44" t="inlineStr">
        <is>
          <t>PAT</t>
        </is>
      </c>
      <c r="C44">
        <f>Projections!C13</f>
        <v/>
      </c>
      <c r="D44">
        <f>Projections!D13</f>
        <v/>
      </c>
    </row>
    <row r="45">
      <c r="B45" t="inlineStr">
        <is>
          <t>Gross cash accruals</t>
        </is>
      </c>
      <c r="C45">
        <f>Projections!C14</f>
        <v/>
      </c>
      <c r="D45">
        <f>Projections!D14</f>
        <v/>
      </c>
    </row>
    <row r="46">
      <c r="B46" t="inlineStr">
        <is>
          <t>Free cash flow</t>
        </is>
      </c>
      <c r="C46">
        <f>Projections!C18</f>
        <v/>
      </c>
      <c r="D46">
        <f>Projections!D18</f>
        <v/>
      </c>
    </row>
    <row r="47">
      <c r="B47" t="inlineStr">
        <is>
          <t>Interest coverage (x)</t>
        </is>
      </c>
      <c r="C47">
        <f>Ratios!F14</f>
        <v/>
      </c>
      <c r="D47">
        <f>Ratios!G14</f>
        <v/>
      </c>
    </row>
    <row r="48">
      <c r="B48" t="inlineStr">
        <is>
          <t>Gearing (x)</t>
        </is>
      </c>
      <c r="C48">
        <f>Ratios!F10</f>
        <v/>
      </c>
      <c r="D48">
        <f>Ratios!G10</f>
        <v/>
      </c>
    </row>
    <row r="49">
      <c r="B49" t="inlineStr">
        <is>
          <t>Net debt</t>
        </is>
      </c>
      <c r="C49">
        <f>Ratios!F17</f>
        <v/>
      </c>
      <c r="D49">
        <f>Ratios!G17</f>
        <v/>
      </c>
    </row>
    <row r="51">
      <c r="B51" s="59" t="inlineStr">
        <is>
          <t>HOW TO READ THIS SHEET. Stage 1 is a SCREEN computed from the audited financials alone - it is deliberately blind to franchise, parentage and sector accounting conventions, so that anything those factors add has to be argued rather than absorbed silently. Stage 2 is where that argument is recorded, one justified notch at a time. Stage 3 is the Committee's decision and is the ONLY grade on this sheet that is a rating.</t>
        </is>
      </c>
    </row>
    <row r="53">
      <c r="B53" s="59" t="inlineStr">
        <is>
          <t>This workbook is an analytical exercise output, not an agency publication. The rating decision belongs to the Rating Committee (Step 17c), never to this sheet.</t>
        </is>
      </c>
    </row>
    <row r="55">
      <c r="B55" s="67" t="inlineStr">
        <is>
          <t>RECONCILIATION - this workbook against the rationale</t>
        </is>
      </c>
      <c r="C55" s="51" t="n"/>
      <c r="D55" s="51" t="n"/>
      <c r="E55" s="51" t="n"/>
      <c r="F55" s="51" t="n"/>
    </row>
    <row r="56">
      <c r="B56" s="68" t="inlineStr">
        <is>
          <t>Assigned rating on this sheet (Stage 3, cell C36)</t>
        </is>
      </c>
      <c r="C56" s="69" t="inlineStr">
        <is>
          <t>CARE BBB+; Positive</t>
        </is>
      </c>
    </row>
    <row r="57">
      <c r="B57" s="68" t="inlineStr">
        <is>
          <t>Rating stated in the rationale</t>
        </is>
      </c>
      <c r="C57" s="69" t="inlineStr">
        <is>
          <t>CARE BBB+</t>
        </is>
      </c>
    </row>
    <row r="58">
      <c r="B58" s="68" t="inlineStr">
        <is>
          <t>Do they agree?</t>
        </is>
      </c>
      <c r="C58" s="69" t="inlineStr">
        <is>
          <t>YES</t>
        </is>
      </c>
    </row>
    <row r="59">
      <c r="B59" s="68" t="n"/>
      <c r="C59" s="69" t="inlineStr"/>
    </row>
    <row r="60">
      <c r="B60" s="68" t="inlineStr">
        <is>
          <t>Financial anchor (Stage 1, cell C16)</t>
        </is>
      </c>
      <c r="C60" s="69" t="inlineStr">
        <is>
          <t>A</t>
        </is>
      </c>
    </row>
    <row r="61">
      <c r="B61" s="68" t="inlineStr">
        <is>
          <t>Hard cap tested</t>
        </is>
      </c>
      <c r="C61" s="69" t="inlineStr">
        <is>
          <t>None</t>
        </is>
      </c>
    </row>
    <row r="62">
      <c r="B62" s="68" t="inlineStr">
        <is>
          <t>Divergence anchor -&gt; assigned, in notches (computed, C34)</t>
        </is>
      </c>
      <c r="C62" s="69" t="n">
        <v>-2</v>
      </c>
    </row>
    <row r="63">
      <c r="B63" s="70" t="n"/>
    </row>
    <row r="64">
      <c r="B64" s="70" t="inlineStr">
        <is>
          <t>The anchor is a SCREEN computed from the audited financials alone. Every notch between it and the assigned</t>
        </is>
      </c>
    </row>
    <row r="65">
      <c r="B65" s="70" t="inlineStr">
        <is>
          <t>rating is itemised and justified in Stage 2 on this sheet - not asserted in prose. The notch count above is</t>
        </is>
      </c>
    </row>
    <row r="66">
      <c r="B66" s="70" t="inlineStr">
        <is>
          <t>COMPUTED by the workbook; it is never typed, because the first two hand-typed notch counts in this project</t>
        </is>
      </c>
    </row>
    <row r="67">
      <c r="B67" s="70" t="inlineStr">
        <is>
          <t>were both wrong (Godrej Properties said 9 where the chain gives 3 after the sector correction; Vodafone Idea</t>
        </is>
      </c>
    </row>
    <row r="68">
      <c r="B68" s="70" t="inlineStr">
        <is>
          <t>said 12 where it was 9).</t>
        </is>
      </c>
    </row>
    <row r="69">
      <c r="B69" s="70" t="n"/>
    </row>
    <row r="70">
      <c r="B70" s="70" t="inlineStr">
        <is>
          <t>The divergence on this case is argued in Dhampur Bio Organics Limited_04 Sep 2026_CARE_Rating Rationale_SUPERSEDED.md and the workpaper.</t>
        </is>
      </c>
    </row>
    <row r="71">
      <c r="B71" s="70" t="inlineStr">
        <is>
          <t>The rating decision belongs to the Rating Committee (Step 17c), not to this workbook.</t>
        </is>
      </c>
    </row>
    <row r="72">
      <c r="B72" s="70" t="n"/>
    </row>
    <row r="73">
      <c r="B73" s="70" t="inlineStr">
        <is>
          <t>CONVENTION USED - CAREEDGE ONLY. This workbook carries no other agency's definitions.</t>
        </is>
      </c>
    </row>
    <row r="74">
      <c r="B74" s="70" t="inlineStr">
        <is>
          <t>Operating-profit measure: PBILDT. PBILDT = total operating income less all operating expenses. Interest, dividend and rental income are EXCLUDED from TOI even when recurring, and indirect taxes are netted off gross sales. Total debt includes acceptances and creditors on LC, and lease liabilities.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10" customWidth="1" min="1" max="1"/>
    <col width="14" customWidth="1" min="2" max="2"/>
    <col width="18" customWidth="1" min="3" max="3"/>
    <col width="4" customWidth="1" min="4" max="4"/>
    <col width="14" customWidth="1" min="5" max="5"/>
    <col width="10" customWidth="1" min="6" max="6"/>
    <col width="4" customWidth="1" min="7" max="7"/>
    <col width="16" customWidth="1" min="8" max="8"/>
    <col width="10" customWidth="1" min="9" max="9"/>
    <col width="30" customWidth="1" min="10" max="10"/>
  </cols>
  <sheetData>
    <row r="1">
      <c r="A1" s="1" t="inlineStr">
        <is>
          <t>Reference: scales, mappings, agency conventions</t>
        </is>
      </c>
    </row>
    <row r="3">
      <c r="A3" s="10" t="inlineStr">
        <is>
          <t>17-notch long-term scale (1=AAA)</t>
        </is>
      </c>
      <c r="E3" s="10" t="inlineStr">
        <is>
          <t>Liquidity adjustment</t>
        </is>
      </c>
      <c r="H3" s="10" t="inlineStr">
        <is>
          <t>Agency conventions</t>
        </is>
      </c>
    </row>
    <row r="4">
      <c r="A4" s="15" t="inlineStr">
        <is>
          <t>Grade</t>
        </is>
      </c>
      <c r="B4" s="15" t="inlineStr">
        <is>
          <t>ST (normal)</t>
        </is>
      </c>
      <c r="C4" s="15" t="inlineStr">
        <is>
          <t>ST (Superior/Strong liq)</t>
        </is>
      </c>
      <c r="E4" s="15" t="inlineStr">
        <is>
          <t>Descriptor</t>
        </is>
      </c>
      <c r="F4" s="15" t="inlineStr">
        <is>
          <t>Score adj</t>
        </is>
      </c>
      <c r="H4" s="15" t="inlineStr">
        <is>
          <t>Agency</t>
        </is>
      </c>
      <c r="I4" s="15" t="inlineStr">
        <is>
          <t>EBITDA term</t>
        </is>
      </c>
      <c r="J4" s="15" t="inlineStr">
        <is>
          <t>Rating line style</t>
        </is>
      </c>
    </row>
    <row r="5">
      <c r="A5" s="13" t="inlineStr">
        <is>
          <t>AAA</t>
        </is>
      </c>
      <c r="B5" s="13" t="inlineStr">
        <is>
          <t>A1+</t>
        </is>
      </c>
      <c r="C5" s="13" t="inlineStr">
        <is>
          <t>A1+</t>
        </is>
      </c>
      <c r="E5" s="13" t="inlineStr">
        <is>
          <t>Superior</t>
        </is>
      </c>
      <c r="F5" s="25" t="n">
        <v>-0.25</v>
      </c>
      <c r="H5" s="13" t="n"/>
      <c r="I5" s="13" t="n"/>
      <c r="J5" s="13" t="n"/>
    </row>
    <row r="6">
      <c r="A6" s="13" t="inlineStr">
        <is>
          <t>AA+</t>
        </is>
      </c>
      <c r="B6" s="13" t="inlineStr">
        <is>
          <t>A1+</t>
        </is>
      </c>
      <c r="C6" s="13" t="inlineStr">
        <is>
          <t>A1+</t>
        </is>
      </c>
      <c r="E6" s="13" t="inlineStr">
        <is>
          <t>Strong</t>
        </is>
      </c>
      <c r="F6" s="25" t="n">
        <v>-0.1</v>
      </c>
      <c r="H6" s="13" t="n"/>
      <c r="I6" s="13" t="n"/>
      <c r="J6" s="13" t="n"/>
    </row>
    <row r="7">
      <c r="A7" s="13" t="inlineStr">
        <is>
          <t>AA</t>
        </is>
      </c>
      <c r="B7" s="13" t="inlineStr">
        <is>
          <t>A1+</t>
        </is>
      </c>
      <c r="C7" s="13" t="inlineStr">
        <is>
          <t>A1+</t>
        </is>
      </c>
      <c r="E7" s="13" t="inlineStr">
        <is>
          <t>Adequate</t>
        </is>
      </c>
      <c r="F7" s="25" t="n">
        <v>0</v>
      </c>
      <c r="H7" s="13" t="inlineStr">
        <is>
          <t>CareEdge</t>
        </is>
      </c>
      <c r="I7" s="13" t="inlineStr">
        <is>
          <t>PBILDT</t>
        </is>
      </c>
      <c r="J7" s="13" t="inlineStr">
        <is>
          <t>CARE AA+; Stable / CARE A1+</t>
        </is>
      </c>
    </row>
    <row r="8">
      <c r="A8" s="13" t="inlineStr">
        <is>
          <t>AA-</t>
        </is>
      </c>
      <c r="B8" s="13" t="inlineStr">
        <is>
          <t>A1+</t>
        </is>
      </c>
      <c r="C8" s="13" t="inlineStr">
        <is>
          <t>A1+</t>
        </is>
      </c>
      <c r="E8" s="13" t="inlineStr">
        <is>
          <t>Stretched</t>
        </is>
      </c>
      <c r="F8" s="25" t="n">
        <v>0.75</v>
      </c>
    </row>
    <row r="9">
      <c r="A9" s="13" t="inlineStr">
        <is>
          <t>A+</t>
        </is>
      </c>
      <c r="B9" s="13" t="inlineStr">
        <is>
          <t>A1</t>
        </is>
      </c>
      <c r="C9" s="13" t="inlineStr">
        <is>
          <t>A1+</t>
        </is>
      </c>
      <c r="E9" s="13" t="inlineStr">
        <is>
          <t>Poor</t>
        </is>
      </c>
      <c r="F9" s="25" t="n">
        <v>1.5</v>
      </c>
    </row>
    <row r="10">
      <c r="A10" s="13" t="inlineStr">
        <is>
          <t>A</t>
        </is>
      </c>
      <c r="B10" s="13" t="inlineStr">
        <is>
          <t>A2+</t>
        </is>
      </c>
      <c r="C10" s="13" t="inlineStr">
        <is>
          <t>A1</t>
        </is>
      </c>
    </row>
    <row r="11">
      <c r="A11" s="13" t="inlineStr">
        <is>
          <t>A-</t>
        </is>
      </c>
      <c r="B11" s="13" t="inlineStr">
        <is>
          <t>A2+</t>
        </is>
      </c>
      <c r="C11" s="13" t="inlineStr">
        <is>
          <t>A2+</t>
        </is>
      </c>
      <c r="E11" s="10" t="inlineStr">
        <is>
          <t>Outlook options</t>
        </is>
      </c>
    </row>
    <row r="12">
      <c r="A12" s="13" t="inlineStr">
        <is>
          <t>BBB+</t>
        </is>
      </c>
      <c r="B12" s="13" t="inlineStr">
        <is>
          <t>A2</t>
        </is>
      </c>
      <c r="C12" s="13" t="inlineStr">
        <is>
          <t>A2</t>
        </is>
      </c>
      <c r="E12" s="13" t="inlineStr">
        <is>
          <t>Stable</t>
        </is>
      </c>
    </row>
    <row r="13">
      <c r="A13" s="13" t="inlineStr">
        <is>
          <t>BBB</t>
        </is>
      </c>
      <c r="B13" s="13" t="inlineStr">
        <is>
          <t>A3+</t>
        </is>
      </c>
      <c r="C13" s="13" t="inlineStr">
        <is>
          <t>A3+</t>
        </is>
      </c>
      <c r="E13" s="13" t="inlineStr">
        <is>
          <t>Positive</t>
        </is>
      </c>
    </row>
    <row r="14">
      <c r="A14" s="13" t="inlineStr">
        <is>
          <t>BBB-</t>
        </is>
      </c>
      <c r="B14" s="13" t="inlineStr">
        <is>
          <t>A3</t>
        </is>
      </c>
      <c r="C14" s="13" t="inlineStr">
        <is>
          <t>A3</t>
        </is>
      </c>
      <c r="E14" s="13" t="inlineStr">
        <is>
          <t>Negative</t>
        </is>
      </c>
    </row>
    <row r="15">
      <c r="A15" s="13" t="inlineStr">
        <is>
          <t>BB+</t>
        </is>
      </c>
      <c r="B15" s="13" t="inlineStr">
        <is>
          <t>A4+</t>
        </is>
      </c>
      <c r="C15" s="13" t="inlineStr">
        <is>
          <t>A4+</t>
        </is>
      </c>
      <c r="E15" s="13" t="inlineStr">
        <is>
          <t>Not applicable</t>
        </is>
      </c>
    </row>
    <row r="16">
      <c r="A16" s="13" t="inlineStr">
        <is>
          <t>BB</t>
        </is>
      </c>
      <c r="B16" s="13" t="inlineStr">
        <is>
          <t>A4</t>
        </is>
      </c>
      <c r="C16" s="13" t="inlineStr">
        <is>
          <t>A4</t>
        </is>
      </c>
    </row>
    <row r="17">
      <c r="A17" s="13" t="inlineStr">
        <is>
          <t>BB-</t>
        </is>
      </c>
      <c r="B17" s="13" t="inlineStr">
        <is>
          <t>A4</t>
        </is>
      </c>
      <c r="C17" s="13" t="inlineStr">
        <is>
          <t>A4</t>
        </is>
      </c>
    </row>
    <row r="18">
      <c r="A18" s="13" t="inlineStr">
        <is>
          <t>B+</t>
        </is>
      </c>
      <c r="B18" s="13" t="inlineStr">
        <is>
          <t>A4</t>
        </is>
      </c>
      <c r="C18" s="13" t="inlineStr">
        <is>
          <t>A4</t>
        </is>
      </c>
    </row>
    <row r="19">
      <c r="A19" s="13" t="inlineStr">
        <is>
          <t>B</t>
        </is>
      </c>
      <c r="B19" s="13" t="inlineStr">
        <is>
          <t>A4</t>
        </is>
      </c>
      <c r="C19" s="13" t="inlineStr">
        <is>
          <t>A4</t>
        </is>
      </c>
    </row>
    <row r="20">
      <c r="A20" s="13" t="inlineStr">
        <is>
          <t>B-</t>
        </is>
      </c>
      <c r="B20" s="13" t="inlineStr">
        <is>
          <t>A4</t>
        </is>
      </c>
      <c r="C20" s="13" t="inlineStr">
        <is>
          <t>A4</t>
        </is>
      </c>
    </row>
    <row r="21">
      <c r="A21" s="13" t="inlineStr">
        <is>
          <t>C+</t>
        </is>
      </c>
      <c r="B21" s="13" t="inlineStr">
        <is>
          <t>A4</t>
        </is>
      </c>
      <c r="C21" s="13" t="inlineStr">
        <is>
          <t>A4</t>
        </is>
      </c>
    </row>
    <row r="22">
      <c r="A22" t="inlineStr">
        <is>
          <t>C</t>
        </is>
      </c>
      <c r="B22" t="inlineStr">
        <is>
          <t>A4</t>
        </is>
      </c>
      <c r="C22" t="inlineStr">
        <is>
          <t>A4</t>
        </is>
      </c>
    </row>
    <row r="23">
      <c r="A23" s="9" t="inlineStr">
        <is>
          <t>Derived from an empirical corpus of published rationales and back-tested 18-Jul-2026 against 396 rated issuers. This is THIS PROJECT'S calibration and is NOT published by CareEdge.</t>
        </is>
      </c>
      <c r="B23" t="inlineStr">
        <is>
          <t>A4</t>
        </is>
      </c>
      <c r="C23" t="inlineStr">
        <is>
          <t>A4</t>
        </is>
      </c>
    </row>
    <row r="24">
      <c r="A24" t="inlineStr">
        <is>
          <t>D</t>
        </is>
      </c>
      <c r="B24" t="inlineStr">
        <is>
          <t>D</t>
        </is>
      </c>
      <c r="C24" t="inlineStr">
        <is>
          <t>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2" customWidth="1" min="1" max="1"/>
    <col width="16" customWidth="1" min="2" max="2"/>
    <col width="15" customWidth="1" min="3" max="3"/>
    <col width="18" customWidth="1" min="4" max="4"/>
    <col width="11" customWidth="1" min="5" max="5"/>
    <col width="13" customWidth="1" min="6" max="6"/>
    <col width="8" customWidth="1" min="7" max="7"/>
    <col width="12" customWidth="1" min="8" max="8"/>
  </cols>
  <sheetData>
    <row r="1">
      <c r="A1" s="1" t="inlineStr">
        <is>
          <t>Reference: sector weights and base scores (EDITABLE assumptions)</t>
        </is>
      </c>
    </row>
    <row r="2">
      <c r="A2" s="9" t="inlineStr">
        <is>
          <t>Weights (C:F) must sum to 1 per row. Base score 1 (best) .. 6 (worst) anchors the sector's operating-environment risk. Type = Corporate uses the EBITDA/gearing framework; Bank/NBFC/HFC use the financial-sector framework (capital, asset quality, earnings). Yellow = edit freely.</t>
        </is>
      </c>
    </row>
    <row r="4">
      <c r="A4" s="15" t="inlineStr">
        <is>
          <t>Sector</t>
        </is>
      </c>
      <c r="B4" s="15" t="inlineStr">
        <is>
          <t>Env/Industry base</t>
        </is>
      </c>
      <c r="C4" s="15" t="inlineStr">
        <is>
          <t>w Industry/Env</t>
        </is>
      </c>
      <c r="D4" s="15" t="inlineStr">
        <is>
          <t>w Business/Franchise</t>
        </is>
      </c>
      <c r="E4" s="15" t="inlineStr">
        <is>
          <t>w Financial</t>
        </is>
      </c>
      <c r="F4" s="15" t="inlineStr">
        <is>
          <t>w Management</t>
        </is>
      </c>
      <c r="G4" s="15" t="inlineStr">
        <is>
          <t>Sum</t>
        </is>
      </c>
      <c r="H4" s="15" t="inlineStr">
        <is>
          <t>Type</t>
        </is>
      </c>
    </row>
    <row r="5">
      <c r="A5" s="13" t="inlineStr">
        <is>
          <t>FMCG / Consumer staples</t>
        </is>
      </c>
      <c r="B5" s="43" t="n">
        <v>2</v>
      </c>
      <c r="C5" s="33" t="n">
        <v>0.15</v>
      </c>
      <c r="D5" s="33" t="n">
        <v>0.25</v>
      </c>
      <c r="E5" s="33" t="n">
        <v>0.45</v>
      </c>
      <c r="F5" s="33" t="n">
        <v>0.15</v>
      </c>
      <c r="G5" s="25">
        <f>SUM(C5:F5)</f>
        <v/>
      </c>
      <c r="H5" s="13" t="inlineStr">
        <is>
          <t>Corporate</t>
        </is>
      </c>
    </row>
    <row r="6">
      <c r="A6" s="13" t="inlineStr">
        <is>
          <t>Pharmaceuticals / Healthcare</t>
        </is>
      </c>
      <c r="B6" s="43" t="n">
        <v>2.5</v>
      </c>
      <c r="C6" s="33" t="n">
        <v>0.15</v>
      </c>
      <c r="D6" s="33" t="n">
        <v>0.25</v>
      </c>
      <c r="E6" s="33" t="n">
        <v>0.45</v>
      </c>
      <c r="F6" s="33" t="n">
        <v>0.15</v>
      </c>
      <c r="G6" s="25">
        <f>SUM(C6:F6)</f>
        <v/>
      </c>
      <c r="H6" s="13" t="inlineStr">
        <is>
          <t>Corporate</t>
        </is>
      </c>
    </row>
    <row r="7">
      <c r="A7" s="13" t="inlineStr">
        <is>
          <t>IT / Software &amp; services</t>
        </is>
      </c>
      <c r="B7" s="43" t="n">
        <v>2.5</v>
      </c>
      <c r="C7" s="33" t="n">
        <v>0.15</v>
      </c>
      <c r="D7" s="33" t="n">
        <v>0.25</v>
      </c>
      <c r="E7" s="33" t="n">
        <v>0.4</v>
      </c>
      <c r="F7" s="33" t="n">
        <v>0.2</v>
      </c>
      <c r="G7" s="25">
        <f>SUM(C7:F7)</f>
        <v/>
      </c>
      <c r="H7" s="13" t="inlineStr">
        <is>
          <t>Corporate</t>
        </is>
      </c>
    </row>
    <row r="8">
      <c r="A8" s="13" t="inlineStr">
        <is>
          <t>Auto OEM</t>
        </is>
      </c>
      <c r="B8" s="43" t="n">
        <v>3</v>
      </c>
      <c r="C8" s="33" t="n">
        <v>0.2</v>
      </c>
      <c r="D8" s="33" t="n">
        <v>0.25</v>
      </c>
      <c r="E8" s="33" t="n">
        <v>0.4</v>
      </c>
      <c r="F8" s="33" t="n">
        <v>0.15</v>
      </c>
      <c r="G8" s="25">
        <f>SUM(C8:F8)</f>
        <v/>
      </c>
      <c r="H8" s="13" t="inlineStr">
        <is>
          <t>Corporate</t>
        </is>
      </c>
    </row>
    <row r="9">
      <c r="A9" s="13" t="inlineStr">
        <is>
          <t>Auto components</t>
        </is>
      </c>
      <c r="B9" s="43" t="n">
        <v>3.5</v>
      </c>
      <c r="C9" s="33" t="n">
        <v>0.2</v>
      </c>
      <c r="D9" s="33" t="n">
        <v>0.2</v>
      </c>
      <c r="E9" s="33" t="n">
        <v>0.45</v>
      </c>
      <c r="F9" s="33" t="n">
        <v>0.15</v>
      </c>
      <c r="G9" s="25">
        <f>SUM(C9:F9)</f>
        <v/>
      </c>
      <c r="H9" s="13" t="inlineStr">
        <is>
          <t>Corporate</t>
        </is>
      </c>
    </row>
    <row r="10">
      <c r="A10" s="13" t="inlineStr">
        <is>
          <t>Cement</t>
        </is>
      </c>
      <c r="B10" s="43" t="n">
        <v>3</v>
      </c>
      <c r="C10" s="33" t="n">
        <v>0.2</v>
      </c>
      <c r="D10" s="33" t="n">
        <v>0.2</v>
      </c>
      <c r="E10" s="33" t="n">
        <v>0.45</v>
      </c>
      <c r="F10" s="33" t="n">
        <v>0.15</v>
      </c>
      <c r="G10" s="25">
        <f>SUM(C10:F10)</f>
        <v/>
      </c>
      <c r="H10" s="13" t="inlineStr">
        <is>
          <t>Corporate</t>
        </is>
      </c>
    </row>
    <row r="11">
      <c r="A11" s="13" t="inlineStr">
        <is>
          <t>Iron &amp; Steel / Metals / Mining</t>
        </is>
      </c>
      <c r="B11" s="43" t="n">
        <v>4</v>
      </c>
      <c r="C11" s="33" t="n">
        <v>0.25</v>
      </c>
      <c r="D11" s="33" t="n">
        <v>0.15</v>
      </c>
      <c r="E11" s="33" t="n">
        <v>0.45</v>
      </c>
      <c r="F11" s="33" t="n">
        <v>0.15</v>
      </c>
      <c r="G11" s="25">
        <f>SUM(C11:F11)</f>
        <v/>
      </c>
      <c r="H11" s="13" t="inlineStr">
        <is>
          <t>Corporate</t>
        </is>
      </c>
    </row>
    <row r="12">
      <c r="A12" s="13" t="inlineStr">
        <is>
          <t>Chemicals / Agrochemicals</t>
        </is>
      </c>
      <c r="B12" s="43" t="n">
        <v>3</v>
      </c>
      <c r="C12" s="33" t="n">
        <v>0.2</v>
      </c>
      <c r="D12" s="33" t="n">
        <v>0.2</v>
      </c>
      <c r="E12" s="33" t="n">
        <v>0.45</v>
      </c>
      <c r="F12" s="33" t="n">
        <v>0.15</v>
      </c>
      <c r="G12" s="25">
        <f>SUM(C12:F12)</f>
        <v/>
      </c>
      <c r="H12" s="13" t="inlineStr">
        <is>
          <t>Corporate</t>
        </is>
      </c>
    </row>
    <row r="13">
      <c r="A13" s="13" t="inlineStr">
        <is>
          <t>Oil &amp; Gas / Refining</t>
        </is>
      </c>
      <c r="B13" s="43" t="n">
        <v>3</v>
      </c>
      <c r="C13" s="33" t="n">
        <v>0.2</v>
      </c>
      <c r="D13" s="33" t="n">
        <v>0.2</v>
      </c>
      <c r="E13" s="33" t="n">
        <v>0.45</v>
      </c>
      <c r="F13" s="33" t="n">
        <v>0.15</v>
      </c>
      <c r="G13" s="25">
        <f>SUM(C13:F13)</f>
        <v/>
      </c>
      <c r="H13" s="13" t="inlineStr">
        <is>
          <t>Corporate</t>
        </is>
      </c>
    </row>
    <row r="14">
      <c r="A14" s="13" t="inlineStr">
        <is>
          <t>Textiles</t>
        </is>
      </c>
      <c r="B14" s="43" t="n">
        <v>4</v>
      </c>
      <c r="C14" s="33" t="n">
        <v>0.2</v>
      </c>
      <c r="D14" s="33" t="n">
        <v>0.2</v>
      </c>
      <c r="E14" s="33" t="n">
        <v>0.45</v>
      </c>
      <c r="F14" s="33" t="n">
        <v>0.15</v>
      </c>
      <c r="G14" s="25">
        <f>SUM(C14:F14)</f>
        <v/>
      </c>
      <c r="H14" s="13" t="inlineStr">
        <is>
          <t>Corporate</t>
        </is>
      </c>
    </row>
    <row r="15">
      <c r="A15" s="13" t="inlineStr">
        <is>
          <t>Paper &amp; Packaging</t>
        </is>
      </c>
      <c r="B15" s="43" t="n">
        <v>3.5</v>
      </c>
      <c r="C15" s="33" t="n">
        <v>0.2</v>
      </c>
      <c r="D15" s="33" t="n">
        <v>0.2</v>
      </c>
      <c r="E15" s="33" t="n">
        <v>0.45</v>
      </c>
      <c r="F15" s="33" t="n">
        <v>0.15</v>
      </c>
      <c r="G15" s="25">
        <f>SUM(C15:F15)</f>
        <v/>
      </c>
      <c r="H15" s="13" t="inlineStr">
        <is>
          <t>Corporate</t>
        </is>
      </c>
    </row>
    <row r="16">
      <c r="A16" s="13" t="inlineStr">
        <is>
          <t>Sugar / Agro-processing</t>
        </is>
      </c>
      <c r="B16" s="43" t="n">
        <v>4</v>
      </c>
      <c r="C16" s="33" t="n">
        <v>0.25</v>
      </c>
      <c r="D16" s="33" t="n">
        <v>0.15</v>
      </c>
      <c r="E16" s="33" t="n">
        <v>0.45</v>
      </c>
      <c r="F16" s="33" t="n">
        <v>0.15</v>
      </c>
      <c r="G16" s="25">
        <f>SUM(C16:F16)</f>
        <v/>
      </c>
      <c r="H16" s="13" t="inlineStr">
        <is>
          <t>Corporate</t>
        </is>
      </c>
    </row>
    <row r="17">
      <c r="A17" s="13" t="inlineStr">
        <is>
          <t>Hotels / Hospitality</t>
        </is>
      </c>
      <c r="B17" s="43" t="n">
        <v>3.5</v>
      </c>
      <c r="C17" s="33" t="n">
        <v>0.2</v>
      </c>
      <c r="D17" s="33" t="n">
        <v>0.2</v>
      </c>
      <c r="E17" s="33" t="n">
        <v>0.45</v>
      </c>
      <c r="F17" s="33" t="n">
        <v>0.15</v>
      </c>
      <c r="G17" s="25">
        <f>SUM(C17:F17)</f>
        <v/>
      </c>
      <c r="H17" s="13" t="inlineStr">
        <is>
          <t>Corporate</t>
        </is>
      </c>
    </row>
    <row r="18">
      <c r="A18" s="13" t="inlineStr">
        <is>
          <t>Real Estate / Construction</t>
        </is>
      </c>
      <c r="B18" s="43" t="n">
        <v>4.5</v>
      </c>
      <c r="C18" s="33" t="n">
        <v>0.25</v>
      </c>
      <c r="D18" s="33" t="n">
        <v>0.2</v>
      </c>
      <c r="E18" s="33" t="n">
        <v>0.4</v>
      </c>
      <c r="F18" s="33" t="n">
        <v>0.15</v>
      </c>
      <c r="G18" s="25">
        <f>SUM(C18:F18)</f>
        <v/>
      </c>
      <c r="H18" s="13" t="inlineStr">
        <is>
          <t>Corporate</t>
        </is>
      </c>
    </row>
    <row r="19">
      <c r="A19" s="13" t="inlineStr">
        <is>
          <t>Infrastructure / Power</t>
        </is>
      </c>
      <c r="B19" s="43" t="n">
        <v>3.5</v>
      </c>
      <c r="C19" s="33" t="n">
        <v>0.25</v>
      </c>
      <c r="D19" s="33" t="n">
        <v>0.2</v>
      </c>
      <c r="E19" s="33" t="n">
        <v>0.4</v>
      </c>
      <c r="F19" s="33" t="n">
        <v>0.15</v>
      </c>
      <c r="G19" s="25">
        <f>SUM(C19:F19)</f>
        <v/>
      </c>
      <c r="H19" s="13" t="inlineStr">
        <is>
          <t>Corporate</t>
        </is>
      </c>
    </row>
    <row r="20">
      <c r="A20" s="13" t="inlineStr">
        <is>
          <t>Telecom</t>
        </is>
      </c>
      <c r="B20" s="43" t="n">
        <v>3</v>
      </c>
      <c r="C20" s="33" t="n">
        <v>0.2</v>
      </c>
      <c r="D20" s="33" t="n">
        <v>0.25</v>
      </c>
      <c r="E20" s="33" t="n">
        <v>0.4</v>
      </c>
      <c r="F20" s="33" t="n">
        <v>0.15</v>
      </c>
      <c r="G20" s="25">
        <f>SUM(C20:F20)</f>
        <v/>
      </c>
      <c r="H20" s="13" t="inlineStr">
        <is>
          <t>Corporate</t>
        </is>
      </c>
    </row>
    <row r="21">
      <c r="A21" s="13" t="inlineStr">
        <is>
          <t>Retail / Consumer discretionary</t>
        </is>
      </c>
      <c r="B21" s="43" t="n">
        <v>3</v>
      </c>
      <c r="C21" s="33" t="n">
        <v>0.15</v>
      </c>
      <c r="D21" s="33" t="n">
        <v>0.25</v>
      </c>
      <c r="E21" s="33" t="n">
        <v>0.45</v>
      </c>
      <c r="F21" s="33" t="n">
        <v>0.15</v>
      </c>
      <c r="G21" s="25">
        <f>SUM(C21:F21)</f>
        <v/>
      </c>
      <c r="H21" s="13" t="inlineStr">
        <is>
          <t>Corporate</t>
        </is>
      </c>
    </row>
    <row r="22">
      <c r="A22" s="13" t="inlineStr">
        <is>
          <t>Trading / Distribution</t>
        </is>
      </c>
      <c r="B22" s="43" t="n">
        <v>4</v>
      </c>
      <c r="C22" s="33" t="n">
        <v>0.2</v>
      </c>
      <c r="D22" s="33" t="n">
        <v>0.2</v>
      </c>
      <c r="E22" s="33" t="n">
        <v>0.45</v>
      </c>
      <c r="F22" s="33" t="n">
        <v>0.15</v>
      </c>
      <c r="G22" s="25">
        <f>SUM(C22:F22)</f>
        <v/>
      </c>
      <c r="H22" s="13" t="inlineStr">
        <is>
          <t>Corporate</t>
        </is>
      </c>
    </row>
    <row r="23">
      <c r="A23" s="13" t="inlineStr">
        <is>
          <t>Generic corporate</t>
        </is>
      </c>
      <c r="B23" s="43" t="n">
        <v>3</v>
      </c>
      <c r="C23" s="33" t="n">
        <v>0.2</v>
      </c>
      <c r="D23" s="33" t="n">
        <v>0.2</v>
      </c>
      <c r="E23" s="33" t="n">
        <v>0.45</v>
      </c>
      <c r="F23" s="33" t="n">
        <v>0.15</v>
      </c>
      <c r="G23" s="25">
        <f>SUM(C23:F23)</f>
        <v/>
      </c>
      <c r="H23" s="13" t="inlineStr">
        <is>
          <t>Corporate</t>
        </is>
      </c>
    </row>
    <row r="24">
      <c r="A24" s="13" t="inlineStr">
        <is>
          <t>Bank / SFB</t>
        </is>
      </c>
      <c r="B24" s="43" t="n">
        <v>2</v>
      </c>
      <c r="C24" s="33" t="n">
        <v>0.15</v>
      </c>
      <c r="D24" s="33" t="n">
        <v>0.25</v>
      </c>
      <c r="E24" s="33" t="n">
        <v>0.45</v>
      </c>
      <c r="F24" s="33" t="n">
        <v>0.15</v>
      </c>
      <c r="G24" s="25">
        <f>SUM(C24:F24)</f>
        <v/>
      </c>
      <c r="H24" s="13" t="inlineStr">
        <is>
          <t>Bank</t>
        </is>
      </c>
    </row>
    <row r="25">
      <c r="A25" s="13" t="inlineStr">
        <is>
          <t>NBFC</t>
        </is>
      </c>
      <c r="B25" s="43" t="n">
        <v>3</v>
      </c>
      <c r="C25" s="33" t="n">
        <v>0.15</v>
      </c>
      <c r="D25" s="33" t="n">
        <v>0.25</v>
      </c>
      <c r="E25" s="33" t="n">
        <v>0.45</v>
      </c>
      <c r="F25" s="33" t="n">
        <v>0.15</v>
      </c>
      <c r="G25" s="25">
        <f>SUM(C25:F25)</f>
        <v/>
      </c>
      <c r="H25" s="13" t="inlineStr">
        <is>
          <t>NBFC</t>
        </is>
      </c>
    </row>
    <row r="26">
      <c r="A26" s="13" t="inlineStr">
        <is>
          <t>Housing Finance Co (HFC)</t>
        </is>
      </c>
      <c r="B26" s="43" t="n">
        <v>2.5</v>
      </c>
      <c r="C26" s="33" t="n">
        <v>0.15</v>
      </c>
      <c r="D26" s="33" t="n">
        <v>0.25</v>
      </c>
      <c r="E26" s="33" t="n">
        <v>0.45</v>
      </c>
      <c r="F26" s="33" t="n">
        <v>0.15</v>
      </c>
      <c r="G26" s="25">
        <f>SUM(C26:F26)</f>
        <v/>
      </c>
      <c r="H26" s="13" t="inlineStr">
        <is>
          <t>HFC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financial-risk threshold bands (score 1 strongest .. 6 weakest)</t>
        </is>
      </c>
    </row>
    <row r="2">
      <c r="A2" s="9" t="inlineStr">
        <is>
          <t>This project's OWN calibration - illustrative benchmark ranges, NOT published by CareEdge.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Interest coverage (x)</t>
        </is>
      </c>
      <c r="B5" s="13" t="inlineStr">
        <is>
          <t>higher</t>
        </is>
      </c>
      <c r="C5" s="33" t="n">
        <v>1.5</v>
      </c>
      <c r="D5" s="33" t="n">
        <v>2.5</v>
      </c>
      <c r="E5" s="33" t="n">
        <v>3.5</v>
      </c>
      <c r="F5" s="33" t="n">
        <v>5</v>
      </c>
      <c r="G5" s="33" t="n">
        <v>8</v>
      </c>
      <c r="H5" s="33" t="n">
        <v>0.25</v>
      </c>
    </row>
    <row r="6">
      <c r="A6" s="13" t="inlineStr">
        <is>
          <t>Gearing - Total debt/TNW (x)</t>
        </is>
      </c>
      <c r="B6" s="13" t="inlineStr">
        <is>
          <t>lower</t>
        </is>
      </c>
      <c r="C6" s="33" t="n">
        <v>0.5</v>
      </c>
      <c r="D6" s="33" t="n">
        <v>1</v>
      </c>
      <c r="E6" s="33" t="n">
        <v>1.5</v>
      </c>
      <c r="F6" s="33" t="n">
        <v>2</v>
      </c>
      <c r="G6" s="33" t="n">
        <v>3</v>
      </c>
      <c r="H6" s="33" t="n">
        <v>0.2</v>
      </c>
    </row>
    <row r="7">
      <c r="A7" s="13" t="inlineStr">
        <is>
          <t>Total debt/EBITDA (x)</t>
        </is>
      </c>
      <c r="B7" s="13" t="inlineStr">
        <is>
          <t>lower</t>
        </is>
      </c>
      <c r="C7" s="33" t="n">
        <v>1.5</v>
      </c>
      <c r="D7" s="33" t="n">
        <v>2.5</v>
      </c>
      <c r="E7" s="33" t="n">
        <v>3.5</v>
      </c>
      <c r="F7" s="33" t="n">
        <v>4.5</v>
      </c>
      <c r="G7" s="33" t="n">
        <v>6</v>
      </c>
      <c r="H7" s="33" t="n">
        <v>0.2</v>
      </c>
    </row>
    <row r="8">
      <c r="A8" s="13" t="inlineStr">
        <is>
          <t>EBITDA margin (%)</t>
        </is>
      </c>
      <c r="B8" s="13" t="inlineStr">
        <is>
          <t>higher</t>
        </is>
      </c>
      <c r="C8" s="33" t="n">
        <v>0.04</v>
      </c>
      <c r="D8" s="33" t="n">
        <v>0.08</v>
      </c>
      <c r="E8" s="33" t="n">
        <v>0.12</v>
      </c>
      <c r="F8" s="33" t="n">
        <v>0.18</v>
      </c>
      <c r="G8" s="33" t="n">
        <v>0.25</v>
      </c>
      <c r="H8" s="33" t="n">
        <v>0.15</v>
      </c>
    </row>
    <row r="9">
      <c r="A9" s="13" t="inlineStr">
        <is>
          <t>Gross cash accruals/Total debt (x)</t>
        </is>
      </c>
      <c r="B9" s="13" t="inlineStr">
        <is>
          <t>higher</t>
        </is>
      </c>
      <c r="C9" s="33" t="n">
        <v>0.06</v>
      </c>
      <c r="D9" s="33" t="n">
        <v>0.12</v>
      </c>
      <c r="E9" s="33" t="n">
        <v>0.18</v>
      </c>
      <c r="F9" s="33" t="n">
        <v>0.25</v>
      </c>
      <c r="G9" s="33" t="n">
        <v>0.35</v>
      </c>
      <c r="H9" s="33" t="n">
        <v>0.12</v>
      </c>
    </row>
    <row r="10">
      <c r="A10" s="13" t="inlineStr">
        <is>
          <t>Current ratio (x)</t>
        </is>
      </c>
      <c r="B10" s="13" t="inlineStr">
        <is>
          <t>higher</t>
        </is>
      </c>
      <c r="C10" s="33" t="n">
        <v>0.9</v>
      </c>
      <c r="D10" s="33" t="n">
        <v>1.05</v>
      </c>
      <c r="E10" s="33" t="n">
        <v>1.2</v>
      </c>
      <c r="F10" s="33" t="n">
        <v>1.33</v>
      </c>
      <c r="G10" s="33" t="n">
        <v>1.5</v>
      </c>
      <c r="H10" s="33" t="n">
        <v>0.08</v>
      </c>
    </row>
    <row r="12">
      <c r="A12" s="9" t="inlineStr">
        <is>
          <t>EBITDA margin thresholds stored as fractions (0.25 = 25%) to match the Ratios sheet.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FINANCIAL-sector threshold bands (banks / NBFCs / HFCs) - score 1 strongest .. 6 weakest</t>
        </is>
      </c>
    </row>
    <row r="2">
      <c r="A2" s="9" t="inlineStr">
        <is>
          <t>This project's OWN calibration - illustrative benchmark ranges, NOT published by CareEdge.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Capital adequacy - CRAR (%)</t>
        </is>
      </c>
      <c r="B5" s="13" t="inlineStr">
        <is>
          <t>higher</t>
        </is>
      </c>
      <c r="C5" s="44" t="n">
        <v>0.11</v>
      </c>
      <c r="D5" s="44" t="n">
        <v>0.13</v>
      </c>
      <c r="E5" s="44" t="n">
        <v>0.15</v>
      </c>
      <c r="F5" s="44" t="n">
        <v>0.17</v>
      </c>
      <c r="G5" s="44" t="n">
        <v>0.19</v>
      </c>
      <c r="H5" s="33" t="n">
        <v>0.22</v>
      </c>
    </row>
    <row r="6">
      <c r="A6" s="13" t="inlineStr">
        <is>
          <t>Gross NPA (%)</t>
        </is>
      </c>
      <c r="B6" s="13" t="inlineStr">
        <is>
          <t>lower</t>
        </is>
      </c>
      <c r="C6" s="44" t="n">
        <v>0.01</v>
      </c>
      <c r="D6" s="44" t="n">
        <v>0.02</v>
      </c>
      <c r="E6" s="44" t="n">
        <v>0.03</v>
      </c>
      <c r="F6" s="44" t="n">
        <v>0.05</v>
      </c>
      <c r="G6" s="44" t="n">
        <v>0.08</v>
      </c>
      <c r="H6" s="33" t="n">
        <v>0.18</v>
      </c>
    </row>
    <row r="7">
      <c r="A7" s="13" t="inlineStr">
        <is>
          <t>Net NPA (%)</t>
        </is>
      </c>
      <c r="B7" s="13" t="inlineStr">
        <is>
          <t>lower</t>
        </is>
      </c>
      <c r="C7" s="44" t="n">
        <v>0.003</v>
      </c>
      <c r="D7" s="44" t="n">
        <v>0.007</v>
      </c>
      <c r="E7" s="44" t="n">
        <v>0.012</v>
      </c>
      <c r="F7" s="44" t="n">
        <v>0.02</v>
      </c>
      <c r="G7" s="44" t="n">
        <v>0.03</v>
      </c>
      <c r="H7" s="33" t="n">
        <v>0.15</v>
      </c>
    </row>
    <row r="8">
      <c r="A8" s="13" t="inlineStr">
        <is>
          <t>Return on assets - RoA (%)</t>
        </is>
      </c>
      <c r="B8" s="13" t="inlineStr">
        <is>
          <t>higher</t>
        </is>
      </c>
      <c r="C8" s="44" t="n">
        <v>0.005</v>
      </c>
      <c r="D8" s="44" t="n">
        <v>0.008999999999999999</v>
      </c>
      <c r="E8" s="44" t="n">
        <v>0.013</v>
      </c>
      <c r="F8" s="44" t="n">
        <v>0.017</v>
      </c>
      <c r="G8" s="44" t="n">
        <v>0.021</v>
      </c>
      <c r="H8" s="33" t="n">
        <v>0.2</v>
      </c>
    </row>
    <row r="9">
      <c r="A9" s="13" t="inlineStr">
        <is>
          <t>Net interest margin - NIM (%)</t>
        </is>
      </c>
      <c r="B9" s="13" t="inlineStr">
        <is>
          <t>higher</t>
        </is>
      </c>
      <c r="C9" s="44" t="n">
        <v>0.02</v>
      </c>
      <c r="D9" s="44" t="n">
        <v>0.027</v>
      </c>
      <c r="E9" s="44" t="n">
        <v>0.033</v>
      </c>
      <c r="F9" s="44" t="n">
        <v>0.04</v>
      </c>
      <c r="G9" s="44" t="n">
        <v>0.05</v>
      </c>
      <c r="H9" s="33" t="n">
        <v>0.13</v>
      </c>
    </row>
    <row r="10">
      <c r="A10" s="13" t="inlineStr">
        <is>
          <t>Cost-to-income (%)</t>
        </is>
      </c>
      <c r="B10" s="13" t="inlineStr">
        <is>
          <t>lower</t>
        </is>
      </c>
      <c r="C10" s="44" t="n">
        <v>0.4</v>
      </c>
      <c r="D10" s="44" t="n">
        <v>0.45</v>
      </c>
      <c r="E10" s="44" t="n">
        <v>0.5</v>
      </c>
      <c r="F10" s="44" t="n">
        <v>0.58</v>
      </c>
      <c r="G10" s="44" t="n">
        <v>0.68</v>
      </c>
      <c r="H10" s="33" t="n">
        <v>0.12</v>
      </c>
    </row>
    <row r="12">
      <c r="A12" s="9" t="inlineStr">
        <is>
          <t>For NBFCs/HFCs, CRAR captures leverage (higher CRAR = lower gearing). NIM for NBFCs = net interest spread. Cost-to-income applies to all.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E13"/>
  <sheetViews>
    <sheetView workbookViewId="0">
      <selection activeCell="A1" sqref="A1"/>
    </sheetView>
  </sheetViews>
  <sheetFormatPr baseColWidth="8" defaultRowHeight="15"/>
  <cols>
    <col width="10" customWidth="1" min="2" max="2"/>
    <col width="46" customWidth="1" min="3" max="3"/>
    <col width="46" customWidth="1" min="4" max="4"/>
    <col width="46" customWidth="1" min="5" max="5"/>
  </cols>
  <sheetData>
    <row r="2">
      <c r="B2" s="47" t="inlineStr">
        <is>
          <t>Qualitative scoring rubric (1 = strongest ... 6 = weakest)</t>
        </is>
      </c>
    </row>
    <row r="3">
      <c r="B3" s="46" t="inlineStr">
        <is>
          <t>Anchors the Industry, Business and Management scores so two operators score alike. Lifted from CareEdge rating blocks A-D. Pick the row whose description best fits; justify the pick in one line in the report.</t>
        </is>
      </c>
    </row>
    <row r="5">
      <c r="B5" s="48" t="inlineStr">
        <is>
          <t>Score</t>
        </is>
      </c>
      <c r="C5" s="48" t="inlineStr">
        <is>
          <t>Industry / operating-environment risk</t>
        </is>
      </c>
      <c r="D5" s="48" t="inlineStr">
        <is>
          <t>Business risk / market position</t>
        </is>
      </c>
      <c r="E5" s="48" t="inlineStr">
        <is>
          <t>Management &amp; governance</t>
        </is>
      </c>
    </row>
    <row r="6">
      <c r="B6" s="46" t="n">
        <v>1</v>
      </c>
      <c r="C6" s="46" t="inlineStr">
        <is>
          <t>Stable, non-cyclical, high entry barriers; strong structural pricing power (regulated utility / dominant-franchise economics).</t>
        </is>
      </c>
      <c r="D6" s="46" t="inlineStr">
        <is>
          <t>Dominant leadership with pricing power; broad segment/geographic/customer diversification; sustained through cycles.</t>
        </is>
      </c>
      <c r="E6" s="46" t="inlineStr">
        <is>
          <t>Exceptional track record; conservative, consistent financial policy; strong board independence &amp; disclosure; no RPT/governance flags.</t>
        </is>
      </c>
    </row>
    <row r="7">
      <c r="B7" s="46" t="n">
        <v>2</v>
      </c>
      <c r="C7" s="46" t="inlineStr">
        <is>
          <t>Favourable growth, moderate cyclicality, limited competition; generally able to pass through input costs.</t>
        </is>
      </c>
      <c r="D7" s="46" t="inlineStr">
        <is>
          <t>Strong market position (top-tier share); good diversification; able to pass on most cost increases.</t>
        </is>
      </c>
      <c r="E7" s="46" t="inlineStr">
        <is>
          <t>Strong track record; prudent financial policy; sound governance; minor, well-managed group linkages.</t>
        </is>
      </c>
    </row>
    <row r="8">
      <c r="B8" s="46" t="n">
        <v>3</v>
      </c>
      <c r="C8" s="46" t="inlineStr">
        <is>
          <t>Moderate growth and competition; some cyclicality; partial cost pass-through.</t>
        </is>
      </c>
      <c r="D8" s="46" t="inlineStr">
        <is>
          <t>Established mid-tier position; some concentration; average pricing power.</t>
        </is>
      </c>
      <c r="E8" s="46" t="inlineStr">
        <is>
          <t>Adequate track record and policy; governance broadly adequate; some moderate financial-policy or group-support demands.</t>
        </is>
      </c>
    </row>
    <row r="9">
      <c r="B9" s="46" t="n">
        <v>4</v>
      </c>
      <c r="C9" s="46" t="inlineStr">
        <is>
          <t>Cyclical and competitive; margins sensitive to the cycle; price-taker in part (import-parity exposure).</t>
        </is>
      </c>
      <c r="D9" s="46" t="inlineStr">
        <is>
          <t>Modest share or meaningful segment/customer concentration; weak pricing power in downturns.</t>
        </is>
      </c>
      <c r="E9" s="46" t="inlineStr">
        <is>
          <t>Aggressive financial policy or capex appetite larger than existing scale; moderate governance gaps.</t>
        </is>
      </c>
    </row>
    <row r="10">
      <c r="B10" s="46" t="n">
        <v>5</v>
      </c>
      <c r="C10" s="46" t="inlineStr">
        <is>
          <t>Highly cyclical / fragmented / structurally competitive; largely a price-taker to landed import cost.</t>
        </is>
      </c>
      <c r="D10" s="46" t="inlineStr">
        <is>
          <t>Weak position; high concentration; margins compress sharply in a downturn.</t>
        </is>
      </c>
      <c r="E10" s="46" t="inlineStr">
        <is>
          <t>Weak governance or promoter-pledge/related-party concerns; track record of aggressive leverage.</t>
        </is>
      </c>
    </row>
    <row r="11">
      <c r="B11" s="46" t="n">
        <v>6</v>
      </c>
      <c r="C11" s="46" t="inlineStr">
        <is>
          <t>Structurally stressed or declining industry; adverse regulation; persistent overcapacity.</t>
        </is>
      </c>
      <c r="D11" s="46" t="inlineStr">
        <is>
          <t>Marginal, uncompetitive position; no pricing power.</t>
        </is>
      </c>
      <c r="E11" s="46" t="inlineStr">
        <is>
          <t>Serious governance failures, going-concern/financial-policy concerns, or a poor debt-servicing record.</t>
        </is>
      </c>
    </row>
    <row r="13">
      <c r="B13" s="46" t="inlineStr">
        <is>
          <t>Note: Industry can be left blank on Inputs to accept the sector base score in Ref_Weights; enter 1-6 here-style to override. Business and Management are always entered from this rubric.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2026-07-12T03:16:17Z</dcterms:created>
  <dcterms:modified xmlns:dcterms="http://purl.org/dc/terms/" xmlns:xsi="http://www.w3.org/2001/XMLSchema-instance" xsi:type="dcterms:W3CDTF">2026-09-19T16:42:28Z</dcterms:modified>
</cp:coreProperties>
</file>