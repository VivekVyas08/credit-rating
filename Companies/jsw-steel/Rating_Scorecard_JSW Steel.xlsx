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color rgb="009B2226"/>
      <sz val="13"/>
    </font>
    <font>
      <b val="1"/>
      <color rgb="009B2226"/>
    </font>
    <font>
      <b val="1"/>
      <color rgb="001B2A4A"/>
      <sz val="12"/>
    </font>
    <font>
      <sz val="10"/>
    </font>
    <font>
      <b val="1"/>
      <color rgb="001B2A4A"/>
      <sz val="10"/>
    </font>
    <font>
      <i val="1"/>
      <color rgb="00555555"/>
      <sz val="9"/>
    </font>
    <font>
      <b val="1"/>
      <color rgb="009B2226"/>
      <sz val="10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i val="1"/>
      <color rgb="006B7891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0" applyAlignment="1" pivotButton="0" quotePrefix="0" xfId="0">
      <alignment vertical="top"/>
    </xf>
    <xf numFmtId="0" fontId="0" fillId="5" borderId="0" pivotButton="0" quotePrefix="0" xfId="0"/>
    <xf numFmtId="0" fontId="13" fillId="0" borderId="0" applyAlignment="1" pivotButton="0" quotePrefix="0" xfId="0">
      <alignment vertical="top"/>
    </xf>
    <xf numFmtId="0" fontId="14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pivotButton="0" quotePrefix="0" xfId="0"/>
    <xf numFmtId="0" fontId="17" fillId="2" borderId="0" pivotButton="0" quotePrefix="0" xfId="0"/>
    <xf numFmtId="0" fontId="18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6" borderId="0" pivotButton="0" quotePrefix="0" xfId="0"/>
    <xf numFmtId="0" fontId="20" fillId="0" borderId="0" pivotButton="0" quotePrefix="0" xfId="0"/>
    <xf numFmtId="0" fontId="12" fillId="0" borderId="0" pivotButton="0" quotePrefix="0" xfId="0"/>
    <xf numFmtId="0" fontId="18" fillId="0" borderId="1" pivotButton="0" quotePrefix="0" xfId="0"/>
    <xf numFmtId="0" fontId="21" fillId="0" borderId="1" applyAlignment="1" pivotButton="0" quotePrefix="0" xfId="0">
      <alignment vertical="top" wrapText="1"/>
    </xf>
    <xf numFmtId="0" fontId="19" fillId="2" borderId="1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vertical="top" wrapText="1"/>
    </xf>
    <xf numFmtId="0" fontId="21" fillId="4" borderId="1" pivotButton="0" quotePrefix="0" xfId="0"/>
    <xf numFmtId="0" fontId="19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8" fillId="0" borderId="1" pivotButton="0" quotePrefix="0" xfId="0"/>
    <xf numFmtId="0" fontId="19" fillId="6" borderId="1" pivotButton="0" quotePrefix="0" xfId="0"/>
    <xf numFmtId="166" fontId="8" fillId="0" borderId="1" applyAlignment="1" pivotButton="0" quotePrefix="0" xfId="0">
      <alignment vertical="top" wrapText="1"/>
    </xf>
    <xf numFmtId="0" fontId="18" fillId="0" borderId="0" applyAlignment="1" pivotButton="0" quotePrefix="0" xfId="0">
      <alignment vertical="top"/>
    </xf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CRISIL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CRISIL/CRISIL/CRISIL published criteria. Calibrate against the methodology files before relying on output (e.g. CRISIL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CRISIL blocks A-E; CRISIL industry/business/financial/management). Editable - they are inputs, not published constants.</t>
        </is>
      </c>
    </row>
    <row r="20" ht="30" customHeight="1">
      <c r="B20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1" ht="30" customHeight="1">
      <c r="B21" s="4" t="inlineStr">
        <is>
          <t>Derived from an empirical corpus of published rationales and back-tested 18-Jul-2026 against 396 rated issuers. This is THIS PROJECT'S calibration and is NOT published by CRISIL.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JSW Steel Limited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CRISIL</t>
        </is>
      </c>
    </row>
    <row r="6">
      <c r="B6" s="5" t="inlineStr">
        <is>
          <t>Sector</t>
        </is>
      </c>
      <c r="C6" s="6" t="inlineStr">
        <is>
          <t>Iron &amp; Steel / Metals / Mining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13-Jul-2026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175006</v>
      </c>
      <c r="D12" s="35" t="n">
        <v>168824</v>
      </c>
      <c r="E12" s="35" t="n">
        <v>185470</v>
      </c>
    </row>
    <row r="13">
      <c r="B13" s="13" t="inlineStr">
        <is>
          <t>EBITDA (OPBDIT / PBILDT)</t>
        </is>
      </c>
      <c r="C13" s="35" t="n">
        <v>28236</v>
      </c>
      <c r="D13" s="35" t="n">
        <v>22904</v>
      </c>
      <c r="E13" s="35" t="n">
        <v>29821</v>
      </c>
    </row>
    <row r="14">
      <c r="B14" s="13" t="inlineStr">
        <is>
          <t>Depreciation &amp; amortisation</t>
        </is>
      </c>
      <c r="C14" s="35" t="n">
        <v>8172</v>
      </c>
      <c r="D14" s="35" t="n">
        <v>9309</v>
      </c>
      <c r="E14" s="35" t="n">
        <v>9601</v>
      </c>
    </row>
    <row r="15">
      <c r="B15" s="13" t="inlineStr">
        <is>
          <t>Interest expense</t>
        </is>
      </c>
      <c r="C15" s="35" t="n">
        <v>8105</v>
      </c>
      <c r="D15" s="35" t="n">
        <v>8412</v>
      </c>
      <c r="E15" s="35" t="n">
        <v>9102</v>
      </c>
    </row>
    <row r="16">
      <c r="B16" s="13" t="inlineStr">
        <is>
          <t>Profit after tax (PAT)</t>
        </is>
      </c>
      <c r="C16" s="35" t="n">
        <v>8973</v>
      </c>
      <c r="D16" s="35" t="n">
        <v>3504</v>
      </c>
      <c r="E16" s="35" t="n">
        <v>8698</v>
      </c>
    </row>
    <row r="17">
      <c r="B17" s="13" t="inlineStr">
        <is>
          <t>Total debt (incl. lease liabilities)</t>
        </is>
      </c>
      <c r="C17" s="35" t="n">
        <v>87984</v>
      </c>
      <c r="D17" s="35" t="n">
        <v>98752</v>
      </c>
      <c r="E17" s="35" t="n">
        <v>99310</v>
      </c>
    </row>
    <row r="18">
      <c r="B18" s="13" t="inlineStr">
        <is>
          <t>Cash &amp; liquid investments</t>
        </is>
      </c>
      <c r="C18" s="35" t="n">
        <v>12351</v>
      </c>
      <c r="D18" s="35" t="n">
        <v>19104</v>
      </c>
      <c r="E18" s="35" t="n">
        <v>41507</v>
      </c>
    </row>
    <row r="19">
      <c r="B19" s="13" t="inlineStr">
        <is>
          <t>Tangible net worth</t>
        </is>
      </c>
      <c r="C19" s="35" t="n">
        <v>79776</v>
      </c>
      <c r="D19" s="35" t="n">
        <v>81666</v>
      </c>
      <c r="E19" s="35" t="n">
        <v>105475</v>
      </c>
    </row>
    <row r="20">
      <c r="B20" s="13" t="inlineStr">
        <is>
          <t>Total outside liabilities</t>
        </is>
      </c>
      <c r="C20" s="35" t="n">
        <v>148422</v>
      </c>
      <c r="D20" s="35" t="n">
        <v>159076</v>
      </c>
      <c r="E20" s="35" t="n">
        <v>164201</v>
      </c>
    </row>
    <row r="21">
      <c r="B21" s="13" t="inlineStr">
        <is>
          <t>Current assets</t>
        </is>
      </c>
      <c r="C21" s="35" t="n">
        <v>64534</v>
      </c>
      <c r="D21" s="35" t="n">
        <v>70736</v>
      </c>
      <c r="E21" s="35" t="n">
        <v>103435</v>
      </c>
    </row>
    <row r="22">
      <c r="B22" s="13" t="inlineStr">
        <is>
          <t>Current liabilities</t>
        </is>
      </c>
      <c r="C22" s="35" t="n">
        <v>66065</v>
      </c>
      <c r="D22" s="35" t="n">
        <v>60626</v>
      </c>
      <c r="E22" s="35" t="n">
        <v>69377</v>
      </c>
    </row>
    <row r="23">
      <c r="B23" s="13" t="inlineStr">
        <is>
          <t>Capital expenditure</t>
        </is>
      </c>
      <c r="C23" s="35" t="n">
        <v>0</v>
      </c>
      <c r="D23" s="35" t="n">
        <v>0</v>
      </c>
      <c r="E23" s="35" t="n">
        <v>15595</v>
      </c>
    </row>
    <row r="24">
      <c r="B24" s="13" t="inlineStr">
        <is>
          <t>Dividends paid</t>
        </is>
      </c>
      <c r="C24" s="35" t="n">
        <v>0</v>
      </c>
      <c r="D24" s="35" t="n">
        <v>0</v>
      </c>
      <c r="E24" s="35" t="n">
        <v>1462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-0.04</v>
      </c>
      <c r="D29" s="36" t="n">
        <v>0.09</v>
      </c>
    </row>
    <row r="30">
      <c r="B30" s="13" t="inlineStr">
        <is>
          <t>EBITDA margin (%)</t>
        </is>
      </c>
      <c r="C30" s="36" t="n">
        <v>0.165</v>
      </c>
      <c r="D30" s="36" t="n">
        <v>0.168</v>
      </c>
    </row>
    <row r="31">
      <c r="B31" s="13" t="inlineStr">
        <is>
          <t>Capital expenditure (Rs crore)</t>
        </is>
      </c>
      <c r="C31" s="35" t="n">
        <v>23000</v>
      </c>
      <c r="D31" s="35" t="n">
        <v>25000</v>
      </c>
    </row>
    <row r="32">
      <c r="B32" s="13" t="inlineStr">
        <is>
          <t>Net new debt + / (repayment) (Rs crore)</t>
        </is>
      </c>
      <c r="C32" s="35" t="n">
        <v>2000</v>
      </c>
      <c r="D32" s="35" t="n">
        <v>6000</v>
      </c>
    </row>
    <row r="33">
      <c r="B33" s="13" t="inlineStr">
        <is>
          <t>Average interest rate on debt (%)</t>
        </is>
      </c>
      <c r="C33" s="36" t="n">
        <v>0.08749999999999999</v>
      </c>
      <c r="D33" s="36" t="n">
        <v>0.08749999999999999</v>
      </c>
    </row>
    <row r="34">
      <c r="B34" s="13" t="inlineStr">
        <is>
          <t>Tax rate (%)</t>
        </is>
      </c>
      <c r="C34" s="36" t="n">
        <v>0.25</v>
      </c>
      <c r="D34" s="36" t="n">
        <v>0.25</v>
      </c>
    </row>
    <row r="35">
      <c r="B35" s="13" t="inlineStr">
        <is>
          <t>Dividend payout (% of PAT)</t>
        </is>
      </c>
      <c r="C35" s="36" t="n">
        <v>0.24</v>
      </c>
      <c r="D35" s="36" t="n">
        <v>0.24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n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2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3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Strong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53" t="inlineStr">
        <is>
          <t>COMMITTEE OVERLAY (Step 17c) - the bridge from the financial anchor to the ASSIGNED rating</t>
        </is>
      </c>
    </row>
    <row r="59">
      <c r="B59" s="54" t="inlineStr">
        <is>
          <t>Adjustment</t>
        </is>
      </c>
      <c r="C59" s="54" t="inlineStr">
        <is>
          <t>Notches (+ improves)</t>
        </is>
      </c>
      <c r="D59" s="54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48" t="n">
        <v>0</v>
      </c>
      <c r="D60" s="48" t="inlineStr">
        <is>
          <t>No sector-metric adjustment.</t>
        </is>
      </c>
      <c r="F60" s="55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48" t="n">
        <v>1</v>
      </c>
      <c r="D61" s="48" t="inlineStr">
        <is>
          <t>+1 for the deleveraging transformation the trailing-year financial composite has not yet fully absorbed: the BPSL move into the 50:50 JSW-JFE joint venture (27-Mar-2026) is expected to deliver ~Rs 37,250 crore of total deleveraging; phase one alone took consolidated net debt from Rs 76,563 crore to Rs 53,870 crore, ND/EBITDA to 1.81x from 3.34x (AR basis, the best print since fiscal 2022), with net gearing of 0.51x against the company's own stated caps of 3.75x ND/EBITDA and 1.75x ND/equity.</t>
        </is>
      </c>
      <c r="F61" s="55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48" t="n">
        <v>1</v>
      </c>
      <c r="D62" s="48" t="inlineStr">
        <is>
          <t>+1 for a demonstrated, board-level 3.0x internal leverage ceiling with a track record of deleveraging through capex cycles, and JFE's equity participation (second tranche of Rs 7,875 crore due June 2026) - a structural financial-policy commitment the composite cannot see, distinct from the transaction effect captured in the notch above.</t>
        </is>
      </c>
      <c r="F62" s="55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48" t="n">
        <v>0</v>
      </c>
      <c r="D63" s="48" t="inlineStr">
        <is>
          <t>No peer-benchmarking adjustment.</t>
        </is>
      </c>
      <c r="F63" s="55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48" t="n">
        <v>0</v>
      </c>
      <c r="D64" s="48" t="inlineStr">
        <is>
          <t>None.</t>
        </is>
      </c>
      <c r="F64" s="55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48" t="inlineStr"/>
      <c r="D66" s="48" t="inlineStr"/>
      <c r="F66" s="55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48" t="inlineStr">
        <is>
          <t>Y</t>
        </is>
      </c>
      <c r="D67" s="48" t="inlineStr"/>
      <c r="F67" s="55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72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- an unraised issue is not a committed source of funds.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72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74"/>
  <sheetViews>
    <sheetView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6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7">
        <f>C36</f>
        <v/>
      </c>
    </row>
    <row r="4">
      <c r="B4" s="19" t="inlineStr">
        <is>
          <t>Short-term</t>
        </is>
      </c>
      <c r="C4" s="57">
        <f>C37</f>
        <v/>
      </c>
    </row>
    <row r="5">
      <c r="B5" t="inlineStr">
        <is>
          <t>Combined</t>
        </is>
      </c>
      <c r="C5" s="58">
        <f>C38</f>
        <v/>
      </c>
    </row>
    <row r="6">
      <c r="B6" s="59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60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61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62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63">
        <f>IF(Inputs!C67="N",Inputs!D67,"(cap applies - not disapplied)")</f>
        <v/>
      </c>
    </row>
    <row r="15">
      <c r="B15" t="inlineStr">
        <is>
          <t>ANCHOR INDEX (after caps)</t>
        </is>
      </c>
      <c r="C15" s="54">
        <f>MAX(IF(Inputs!C67="N",C13,IF(F6="Corporate",IF(Inputs!E19&lt;0,MAX(C13,15),IF(Ratios!E14&lt;1,MAX(C13,13),C13)),IF(Inputs!C49&lt;0.09,MAX(C13,10),C13))),Scorecard!C44)</f>
        <v/>
      </c>
    </row>
    <row r="16">
      <c r="B16" s="46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4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5" t="inlineStr">
        <is>
          <t>STAGE 2 - COMMITTEE OVERLAY   (Step 17c: what the anchor cannot see)</t>
        </is>
      </c>
      <c r="C20" s="53" t="inlineStr">
        <is>
          <t>Notches</t>
        </is>
      </c>
      <c r="D20" s="53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55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55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6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7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7">
        <f>Inputs!D64</f>
        <v/>
      </c>
    </row>
    <row r="26">
      <c r="B26" s="13" t="inlineStr">
        <is>
          <t>Total overlay notches (+ improves)</t>
        </is>
      </c>
      <c r="C26" s="68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9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70">
        <f>Inputs!D66</f>
        <v/>
      </c>
    </row>
    <row r="31">
      <c r="B31" s="13" t="inlineStr">
        <is>
          <t>ASSIGNED INDEX</t>
        </is>
      </c>
      <c r="C31" s="68">
        <f>IF(Inputs!C66="",C27,Inputs!C66)</f>
        <v/>
      </c>
      <c r="D31" s="42" t="n"/>
    </row>
    <row r="32">
      <c r="B32" t="inlineStr">
        <is>
          <t>Assigned long-term grade</t>
        </is>
      </c>
      <c r="C32" s="54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63">
        <f>IF(C34=0,"None - the anchor and the assigned rating agree.","COMPUTED, not typed. Stage 2 must carry a justification for every notch of this. The rationale quotes THIS number.")</f>
        <v/>
      </c>
    </row>
    <row r="35">
      <c r="B35" s="47" t="n"/>
      <c r="C35" s="48" t="n"/>
      <c r="D35" s="48" t="n"/>
      <c r="E35" s="48" t="n"/>
      <c r="F35" s="48" t="n"/>
    </row>
    <row r="36">
      <c r="B36" s="49" t="inlineStr">
        <is>
          <t>Assigned long-term line (agency house style)</t>
        </is>
      </c>
      <c r="C36" s="50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s="49" t="inlineStr">
        <is>
          <t>Assigned short-term line</t>
        </is>
      </c>
      <c r="C37" s="50">
        <f>IF(Inputs!C5="ICRA","[ICRA]"&amp;C33,IF(Inputs!C5="CRISIL","Crisil "&amp;C33,"CARE "&amp;C33))</f>
        <v/>
      </c>
    </row>
    <row r="38">
      <c r="B38" s="49" t="inlineStr">
        <is>
          <t>Assigned combined</t>
        </is>
      </c>
      <c r="C38" s="50">
        <f>C36&amp;" / "&amp;C37</f>
        <v/>
      </c>
    </row>
    <row r="39">
      <c r="B39" s="49" t="n"/>
      <c r="C39" s="50" t="n"/>
    </row>
    <row r="40">
      <c r="B40" s="71" t="inlineStr">
        <is>
          <t>Future earning potential (from Projections)</t>
        </is>
      </c>
      <c r="C40" s="50" t="n"/>
    </row>
    <row r="41">
      <c r="B41" s="49" t="inlineStr">
        <is>
          <t>Rs crore / x</t>
        </is>
      </c>
      <c r="C41" s="50" t="inlineStr">
        <is>
          <t>FY+1</t>
        </is>
      </c>
      <c r="D41" t="inlineStr">
        <is>
          <t>FY+2</t>
        </is>
      </c>
    </row>
    <row r="42">
      <c r="B42" s="51" t="inlineStr">
        <is>
          <t>Revenue</t>
        </is>
      </c>
      <c r="C42">
        <f>Projections!C5</f>
        <v/>
      </c>
      <c r="D42">
        <f>Projections!D5</f>
        <v/>
      </c>
    </row>
    <row r="43">
      <c r="B43" s="51" t="inlineStr">
        <is>
          <t>EBITDA</t>
        </is>
      </c>
      <c r="C43">
        <f>Projections!C6</f>
        <v/>
      </c>
      <c r="D43">
        <f>Projections!D6</f>
        <v/>
      </c>
    </row>
    <row r="44">
      <c r="B44" s="51" t="inlineStr">
        <is>
          <t>PAT</t>
        </is>
      </c>
      <c r="C44">
        <f>Projections!C13</f>
        <v/>
      </c>
      <c r="D44">
        <f>Projections!D13</f>
        <v/>
      </c>
    </row>
    <row r="45">
      <c r="B45" s="51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s="51" t="inlineStr">
        <is>
          <t>Free cash flow</t>
        </is>
      </c>
      <c r="C46">
        <f>Projections!C18</f>
        <v/>
      </c>
      <c r="D46">
        <f>Projections!D18</f>
        <v/>
      </c>
    </row>
    <row r="47">
      <c r="B47" s="51" t="inlineStr">
        <is>
          <t>Interest coverage (x)</t>
        </is>
      </c>
      <c r="C47">
        <f>Ratios!F14</f>
        <v/>
      </c>
      <c r="D47">
        <f>Ratios!G14</f>
        <v/>
      </c>
    </row>
    <row r="48">
      <c r="B48" s="51" t="inlineStr">
        <is>
          <t>Gearing (x)</t>
        </is>
      </c>
      <c r="C48">
        <f>Ratios!F10</f>
        <v/>
      </c>
      <c r="D48">
        <f>Ratios!G10</f>
        <v/>
      </c>
    </row>
    <row r="49">
      <c r="B49" s="51" t="inlineStr">
        <is>
          <t>Net debt</t>
        </is>
      </c>
      <c r="C49">
        <f>Ratios!F17</f>
        <v/>
      </c>
      <c r="D49">
        <f>Ratios!G17</f>
        <v/>
      </c>
    </row>
    <row r="50">
      <c r="B50" s="51" t="n"/>
    </row>
    <row r="51">
      <c r="B51" s="63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63" t="inlineStr">
        <is>
          <t>This workbook is an analytical exercise output, not an agency publication. The rating decision belongs to the Rating Committee (Step 17c), never to this sheet.</t>
        </is>
      </c>
    </row>
    <row r="55">
      <c r="B55" s="47" t="inlineStr">
        <is>
          <t>RECONCILIATION - this workbook against the rationale</t>
        </is>
      </c>
      <c r="C55" s="48" t="n"/>
      <c r="D55" s="48" t="n"/>
      <c r="E55" s="48" t="n"/>
      <c r="F55" s="48" t="n"/>
    </row>
    <row r="56">
      <c r="B56" s="49" t="inlineStr">
        <is>
          <t>Assigned rating on this sheet (Stage 3, cell C36)</t>
        </is>
      </c>
      <c r="C56" s="50" t="inlineStr">
        <is>
          <t>Crisil AA/Stable</t>
        </is>
      </c>
    </row>
    <row r="57">
      <c r="B57" s="49" t="inlineStr">
        <is>
          <t>Rating stated in the rationale</t>
        </is>
      </c>
      <c r="C57" s="50" t="inlineStr">
        <is>
          <t>Crisil AA/Stable/Crisil A1+</t>
        </is>
      </c>
    </row>
    <row r="58">
      <c r="B58" s="49" t="inlineStr">
        <is>
          <t>Do they agree?</t>
        </is>
      </c>
      <c r="C58" s="50" t="inlineStr">
        <is>
          <t>YES</t>
        </is>
      </c>
    </row>
    <row r="59">
      <c r="B59" s="49" t="n"/>
      <c r="C59" s="50" t="inlineStr"/>
    </row>
    <row r="60">
      <c r="B60" s="49" t="inlineStr">
        <is>
          <t>Financial anchor (Stage 1, cell C16)</t>
        </is>
      </c>
      <c r="C60" s="50" t="inlineStr">
        <is>
          <t>A+</t>
        </is>
      </c>
    </row>
    <row r="61">
      <c r="B61" s="49" t="inlineStr">
        <is>
          <t>Hard cap tested</t>
        </is>
      </c>
      <c r="C61" s="50" t="inlineStr">
        <is>
          <t>None</t>
        </is>
      </c>
    </row>
    <row r="62">
      <c r="B62" s="49" t="inlineStr">
        <is>
          <t>Divergence anchor -&gt; assigned, in notches (computed, C34)</t>
        </is>
      </c>
      <c r="C62" s="50" t="n">
        <v>2</v>
      </c>
    </row>
    <row r="63">
      <c r="B63" s="51" t="n"/>
    </row>
    <row r="64">
      <c r="B64" s="51" t="inlineStr">
        <is>
          <t>The anchor is a SCREEN computed from the audited financials alone. Every notch between it and the assigned</t>
        </is>
      </c>
    </row>
    <row r="65">
      <c r="B65" s="51" t="inlineStr">
        <is>
          <t>rating is itemised and justified in Stage 2 on this sheet - not asserted in prose. The notch count above is</t>
        </is>
      </c>
    </row>
    <row r="66">
      <c r="B66" s="51" t="inlineStr">
        <is>
          <t>COMPUTED by the workbook; it is never typed, because the first two hand-typed notch counts in this project</t>
        </is>
      </c>
    </row>
    <row r="67">
      <c r="B67" s="51" t="inlineStr">
        <is>
          <t>were both wrong (Godrej Properties said 9 where the chain gives 3 after the sector correction; Vodafone Idea</t>
        </is>
      </c>
    </row>
    <row r="68">
      <c r="B68" s="51" t="inlineStr">
        <is>
          <t>said 12 where it was 9).</t>
        </is>
      </c>
    </row>
    <row r="69">
      <c r="B69" s="51" t="n"/>
    </row>
    <row r="70">
      <c r="B70" s="51" t="inlineStr">
        <is>
          <t>The divergence on this case is argued in JSW Steel Limited_13 Jul 2026_CRISIL_Rating Rationale.md and the workpaper.</t>
        </is>
      </c>
    </row>
    <row r="71">
      <c r="B71" s="51" t="inlineStr">
        <is>
          <t>The rating decision belongs to the Rating Committee (Step 17c), not to this workbook.</t>
        </is>
      </c>
    </row>
    <row r="72">
      <c r="B72" s="51" t="n"/>
    </row>
    <row r="73">
      <c r="B73" s="51" t="inlineStr">
        <is>
          <t>CONVENTION USED - CRISIL ONLY. This workbook carries no other agency's definitions.</t>
        </is>
      </c>
    </row>
    <row r="74">
      <c r="B74" s="51" t="inlineStr">
        <is>
          <t>Operating-profit measure: EBITDA. PBDIT / EBITDA RETAINS recurring non-operating income rather than stripping it. Gearing uses adjusted total debt over adjusted networth, both adjusted for revaluation reserves, miscellaneous expenditure not written off, and off-balance-sheet items assessed for devolvement.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n"/>
      <c r="I5" s="13" t="n"/>
      <c r="J5" s="13" t="n"/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n"/>
      <c r="I7" s="13" t="n"/>
      <c r="J7" s="13" t="n"/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Derived from an empirical corpus of published rationales and back-tested 18-Jul-2026 against 396 rated issuers. This is THIS PROJECT'S calibration and is NOT published by CRISIL.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This project's OWN calibration - illustrative benchmark ranges, NOT published by CRISIL. See Scorecard_Backtest_Report_18Jul2026.md.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2026-09-19T16:42:29Z</dcterms:modified>
</cp:coreProperties>
</file>