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Debt Breakup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CF Inputs" sheetId="8" state="visible" r:id="rId8"/>
    <sheet xmlns:r="http://schemas.openxmlformats.org/officeDocument/2006/relationships" name="Credit Ratios" sheetId="9" state="visible" r:id="rId9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0.0%;(0.0%);&quot;-&quot;"/>
    <numFmt numFmtId="165" formatCode="#,##0;(#,##0);&quot;-&quot;"/>
    <numFmt numFmtId="166" formatCode="0.0"/>
    <numFmt numFmtId="167" formatCode="0.00x;(0.00x);&quot;-&quot;"/>
  </numFmts>
  <fonts count="8">
    <font>
      <name val="Calibri"/>
      <family val="2"/>
      <color theme="1"/>
      <sz val="11"/>
      <scheme val="minor"/>
    </font>
    <font>
      <name val="Arial"/>
      <b val="1"/>
      <color rgb="001B2A4A"/>
      <sz val="13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68738A"/>
      <sz val="9"/>
    </font>
    <font>
      <name val="Arial"/>
      <b val="1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4" fontId="4" fillId="3" borderId="1" pivotButton="0" quotePrefix="0" xfId="0"/>
    <xf numFmtId="0" fontId="5" fillId="0" borderId="0" pivotButton="0" quotePrefix="0" xfId="0"/>
    <xf numFmtId="165" fontId="4" fillId="3" borderId="1" pivotButton="0" quotePrefix="0" xfId="0"/>
    <xf numFmtId="0" fontId="6" fillId="0" borderId="0" pivotButton="0" quotePrefix="0" xfId="0"/>
    <xf numFmtId="166" fontId="4" fillId="3" borderId="1" pivotButton="0" quotePrefix="0" xfId="0"/>
    <xf numFmtId="166" fontId="3" fillId="0" borderId="1" pivotButton="0" quotePrefix="0" xfId="0"/>
    <xf numFmtId="165" fontId="3" fillId="0" borderId="1" pivotButton="0" quotePrefix="0" xfId="0"/>
    <xf numFmtId="0" fontId="6" fillId="4" borderId="1" pivotButton="0" quotePrefix="0" xfId="0"/>
    <xf numFmtId="165" fontId="6" fillId="4" borderId="1" pivotButton="0" quotePrefix="0" xfId="0"/>
    <xf numFmtId="164" fontId="3" fillId="0" borderId="1" pivotButton="0" quotePrefix="0" xfId="0"/>
    <xf numFmtId="165" fontId="7" fillId="0" borderId="1" pivotButton="0" quotePrefix="0" xfId="0"/>
    <xf numFmtId="0" fontId="6" fillId="0" borderId="1" pivotButton="0" quotePrefix="0" xfId="0"/>
    <xf numFmtId="165" fontId="6" fillId="0" borderId="1" pivotButton="0" quotePrefix="0" xfId="0"/>
    <xf numFmtId="0" fontId="4" fillId="3" borderId="1" pivotButton="0" quotePrefix="0" xfId="0"/>
    <xf numFmtId="167" fontId="6" fillId="0" borderId="1" pivotButton="0" quotePrefix="0" xfId="0"/>
    <xf numFmtId="167" fontId="6" fillId="4" borderId="1" pivotButton="0" quotePrefix="0" xfId="0"/>
    <xf numFmtId="167" fontId="3" fillId="0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6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58" customWidth="1" min="11" max="11"/>
  </cols>
  <sheetData>
    <row r="2">
      <c r="B2" s="1" t="inlineStr">
        <is>
          <t>JSW Steel Limited - 5-yr model assumptions (Rs crore) - every driver sourced</t>
        </is>
      </c>
    </row>
    <row r="4">
      <c r="B4" s="2" t="inlineStr">
        <is>
          <t>Driver</t>
        </is>
      </c>
      <c r="C4" s="3" t="inlineStr">
        <is>
          <t>FY27E</t>
        </is>
      </c>
      <c r="D4" s="3" t="inlineStr">
        <is>
          <t>FY28E</t>
        </is>
      </c>
      <c r="E4" s="3" t="inlineStr">
        <is>
          <t>FY29E</t>
        </is>
      </c>
      <c r="F4" s="3" t="inlineStr">
        <is>
          <t>FY30E</t>
        </is>
      </c>
      <c r="G4" s="3" t="inlineStr">
        <is>
          <t>FY31E</t>
        </is>
      </c>
    </row>
    <row r="5">
      <c r="B5" s="4" t="inlineStr">
        <is>
          <t>Revenue growth %</t>
        </is>
      </c>
      <c r="C5" s="5" t="n">
        <v>-0.04</v>
      </c>
      <c r="D5" s="5" t="n">
        <v>0.09</v>
      </c>
      <c r="E5" s="5" t="n">
        <v>0.09</v>
      </c>
      <c r="F5" s="5" t="n">
        <v>0.09</v>
      </c>
      <c r="G5" s="5" t="n">
        <v>0.08</v>
      </c>
      <c r="H5" s="6" t="inlineStr">
        <is>
          <t>FY27: BPSL deconsolidated end-FY26 (~11-12% of consol; MOSL: BPSL FY25 rev Rs214bn/EBITDA Rs22bn; Centrum cut FY27E EBITDA ~6%) offset by volume growth + safeguard-duty pricing; FY28-31: capacity ramp (co roadmap 31.9-&gt;48.8 mtpa by FY30; ICICI vol CAGR ~10% FY25-28) - analyst judgment on those sources</t>
        </is>
      </c>
    </row>
    <row r="6">
      <c r="B6" s="4" t="inlineStr">
        <is>
          <t>EBITDA margin %</t>
        </is>
      </c>
      <c r="C6" s="5" t="n">
        <v>0.165</v>
      </c>
      <c r="D6" s="5" t="n">
        <v>0.168</v>
      </c>
      <c r="E6" s="5" t="n">
        <v>0.17</v>
      </c>
      <c r="F6" s="5" t="n">
        <v>0.173</v>
      </c>
      <c r="G6" s="5" t="n">
        <v>0.175</v>
      </c>
      <c r="H6" s="6" t="inlineStr">
        <is>
          <t>FY26 actual 16.1%; ICICI EBITDA/t Rs8.8k-&gt;10.8k FY26-28E; integration (captive iron ore ~50MT, coking coal 25% by FY31) - judgment on those sources</t>
        </is>
      </c>
    </row>
    <row r="7">
      <c r="B7" s="4" t="inlineStr">
        <is>
          <t>Capex</t>
        </is>
      </c>
      <c r="C7" s="7" t="n">
        <v>23000</v>
      </c>
      <c r="D7" s="7" t="n">
        <v>25000</v>
      </c>
      <c r="E7" s="7" t="n">
        <v>26000</v>
      </c>
      <c r="F7" s="7" t="n">
        <v>26000</v>
      </c>
      <c r="G7" s="7" t="n">
        <v>26000</v>
      </c>
      <c r="H7" s="6" t="inlineStr">
        <is>
          <t>Company Q4 deck: FY27 guidance Rs22,000-24,000 cr (mid used); programme Rs1,26,161 cr over 4-5 yrs</t>
        </is>
      </c>
    </row>
    <row r="8">
      <c r="B8" s="4" t="inlineStr">
        <is>
          <t>Net new debt +/(repay)</t>
        </is>
      </c>
      <c r="C8" s="7" t="n">
        <v>2000</v>
      </c>
      <c r="D8" s="7" t="n">
        <v>6000</v>
      </c>
      <c r="E8" s="7" t="n">
        <v>6000</v>
      </c>
      <c r="F8" s="7" t="n">
        <v>4000</v>
      </c>
      <c r="G8" s="7" t="n">
        <v>2000</v>
      </c>
      <c r="H8" s="6" t="inlineStr">
        <is>
          <t>Judgment: capex part-debt-funded within mgmt net-debt/EBITDA cap 3.0x; JFE tranche-2 Rs7,880 cr inflow (Centrum) offsets FY27</t>
        </is>
      </c>
    </row>
    <row r="9">
      <c r="B9" s="4" t="inlineStr">
        <is>
          <t>Avg interest rate %</t>
        </is>
      </c>
      <c r="C9" s="5" t="n">
        <v>0.08749999999999999</v>
      </c>
      <c r="D9" s="5" t="n">
        <v>0.08749999999999999</v>
      </c>
      <c r="E9" s="5" t="n">
        <v>0.08749999999999999</v>
      </c>
      <c r="F9" s="5" t="n">
        <v>0.08749999999999999</v>
      </c>
      <c r="G9" s="5" t="n">
        <v>0.08749999999999999</v>
      </c>
      <c r="H9" s="6" t="inlineStr">
        <is>
          <t>FY26 effective ~9.2% (interest 9,102 / avg debt); deleveraged mix - judgment</t>
        </is>
      </c>
    </row>
    <row r="10">
      <c r="B10" s="4" t="inlineStr">
        <is>
          <t>Tax rate %</t>
        </is>
      </c>
      <c r="C10" s="5" t="n">
        <v>0.25</v>
      </c>
      <c r="D10" s="5" t="n">
        <v>0.25</v>
      </c>
      <c r="E10" s="5" t="n">
        <v>0.25</v>
      </c>
      <c r="F10" s="5" t="n">
        <v>0.25</v>
      </c>
      <c r="G10" s="5" t="n">
        <v>0.25</v>
      </c>
      <c r="H10" s="6" t="inlineStr">
        <is>
          <t>Standard corporate rate; FY26 effective in this range</t>
        </is>
      </c>
    </row>
    <row r="11">
      <c r="B11" s="4" t="inlineStr">
        <is>
          <t>Dividends</t>
        </is>
      </c>
      <c r="C11" s="7" t="n">
        <v>1737</v>
      </c>
      <c r="D11" s="7" t="n">
        <v>1876</v>
      </c>
      <c r="E11" s="7" t="n">
        <v>2026</v>
      </c>
      <c r="F11" s="7" t="n">
        <v>2188</v>
      </c>
      <c r="G11" s="7" t="n">
        <v>2363</v>
      </c>
      <c r="H11" s="6" t="inlineStr">
        <is>
          <t>FY26 declared Rs7.1/sh (Q4 deck) x ~244.7 cr shares ~ Rs1,737 cr; grown ~8%/yr with earnings - judgment</t>
        </is>
      </c>
    </row>
    <row r="12">
      <c r="B12" s="4" t="inlineStr">
        <is>
          <t>JFE tranche-2 equity inflow</t>
        </is>
      </c>
      <c r="C12" s="7" t="n">
        <v>7880</v>
      </c>
      <c r="D12" s="7" t="n">
        <v>0</v>
      </c>
      <c r="E12" s="7" t="n">
        <v>0</v>
      </c>
      <c r="F12" s="7" t="n">
        <v>0</v>
      </c>
      <c r="G12" s="7" t="n">
        <v>0</v>
      </c>
      <c r="H12" s="6" t="inlineStr">
        <is>
          <t>Centrum 15-May-26: ~Rs78.8bn by end-Jun-26</t>
        </is>
      </c>
    </row>
    <row r="14">
      <c r="B14" s="8" t="inlineStr">
        <is>
          <t>STRESS CASE deltas (Iron &amp; Steel methodology variables: realisation/margin, volume):</t>
        </is>
      </c>
    </row>
    <row r="15">
      <c r="B15" s="4" t="inlineStr">
        <is>
          <t>Stress revenue growth delta (pp)</t>
        </is>
      </c>
      <c r="C15" s="5" t="n">
        <v>-0.05</v>
      </c>
      <c r="H15" s="6" t="inlineStr">
        <is>
          <t>Volume/realisation stress: growth 5pp lower every year</t>
        </is>
      </c>
    </row>
    <row r="16">
      <c r="B16" s="4" t="inlineStr">
        <is>
          <t>Stress EBITDA margin delta (pp)</t>
        </is>
      </c>
      <c r="C16" s="5" t="n">
        <v>-0.025</v>
      </c>
      <c r="H16" s="6" t="inlineStr">
        <is>
          <t>Margin stress: -250bps (coking-coal spike / realisation fall; FY25 trough was 13.6%)</t>
        </is>
      </c>
    </row>
  </sheetData>
  <mergeCells count="8">
    <mergeCell ref="H9:K9"/>
    <mergeCell ref="H8:K8"/>
    <mergeCell ref="H11:K11"/>
    <mergeCell ref="H12:K12"/>
    <mergeCell ref="H6:K6"/>
    <mergeCell ref="H7:K7"/>
    <mergeCell ref="H10:K10"/>
    <mergeCell ref="H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0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58" customWidth="1" min="11" max="11"/>
  </cols>
  <sheetData>
    <row r="2">
      <c r="B2" s="1" t="inlineStr">
        <is>
          <t>Revenue build (condensed: volume x blended realisation; Rs crore)</t>
        </is>
      </c>
    </row>
    <row r="4">
      <c r="B4" s="3" t="inlineStr"/>
      <c r="C4" s="3" t="inlineStr">
        <is>
          <t>FY25A</t>
        </is>
      </c>
      <c r="D4" s="3" t="inlineStr">
        <is>
          <t>FY26A</t>
        </is>
      </c>
      <c r="E4" s="3" t="inlineStr">
        <is>
          <t>FY27E</t>
        </is>
      </c>
      <c r="F4" s="3" t="inlineStr">
        <is>
          <t>FY28E</t>
        </is>
      </c>
      <c r="G4" s="3" t="inlineStr">
        <is>
          <t>FY29E</t>
        </is>
      </c>
      <c r="H4" s="3" t="inlineStr">
        <is>
          <t>FY30E</t>
        </is>
      </c>
      <c r="I4" s="3" t="inlineStr">
        <is>
          <t>FY31E</t>
        </is>
      </c>
    </row>
    <row r="5">
      <c r="B5" s="4" t="inlineStr">
        <is>
          <t>Steel sales volume (mt)</t>
        </is>
      </c>
      <c r="C5" s="9" t="n">
        <v>24.9</v>
      </c>
      <c r="D5" s="9" t="n">
        <v>26.5</v>
      </c>
      <c r="E5" s="9" t="n">
        <v>30.1</v>
      </c>
      <c r="F5" s="10">
        <f>E5*(1+Assumptions!C5*0.7)</f>
        <v/>
      </c>
      <c r="G5" s="10">
        <f>F5*(1+Assumptions!D5*0.7)</f>
        <v/>
      </c>
      <c r="H5" s="10">
        <f>G5*(1+Assumptions!E5*0.7)</f>
        <v/>
      </c>
      <c r="I5" s="10">
        <f>H5*(1+Assumptions!F5*0.7)</f>
        <v/>
      </c>
      <c r="J5" s="10">
        <f>I5*(1+Assumptions!G5*0.7)</f>
        <v/>
      </c>
      <c r="K5" s="6" t="inlineStr">
        <is>
          <t>FY25 26.5 mt / FY28E 35.2 mt per ICICI Direct; FY26 ~30.1 mt (AR/workpaper); FY24 approx</t>
        </is>
      </c>
    </row>
    <row r="6">
      <c r="B6" s="4" t="inlineStr">
        <is>
          <t>Blended realisation (Rs/tonne)</t>
        </is>
      </c>
      <c r="C6" s="11">
        <f>C7*10000000/(C5*1000000)</f>
        <v/>
      </c>
      <c r="D6" s="11">
        <f>D7*10000000/(D5*1000000)</f>
        <v/>
      </c>
      <c r="E6" s="11">
        <f>E7*10000000/(E5*1000000)</f>
        <v/>
      </c>
      <c r="F6" s="11">
        <f>F7*10000000/(F5*1000000)</f>
        <v/>
      </c>
      <c r="G6" s="11">
        <f>G7*10000000/(G5*1000000)</f>
        <v/>
      </c>
      <c r="H6" s="11">
        <f>H7*10000000/(H5*1000000)</f>
        <v/>
      </c>
      <c r="I6" s="11">
        <f>I7*10000000/(I5*1000000)</f>
        <v/>
      </c>
      <c r="J6" s="11">
        <f>J7*10000000/(J5*1000000)</f>
        <v/>
      </c>
      <c r="K6" s="6" t="inlineStr">
        <is>
          <t>Derived: revenue / volume (display only)</t>
        </is>
      </c>
    </row>
    <row r="7">
      <c r="B7" s="12" t="inlineStr">
        <is>
          <t>TOTAL REVENUE</t>
        </is>
      </c>
      <c r="C7" s="7" t="n">
        <v>175006</v>
      </c>
      <c r="D7" s="7" t="n">
        <v>168824</v>
      </c>
      <c r="E7" s="7" t="n">
        <v>185470</v>
      </c>
      <c r="F7" s="13">
        <f>E7*(1+Assumptions!C5)</f>
        <v/>
      </c>
      <c r="G7" s="13">
        <f>F7*(1+Assumptions!D5)</f>
        <v/>
      </c>
      <c r="H7" s="13">
        <f>G7*(1+Assumptions!E5)</f>
        <v/>
      </c>
      <c r="I7" s="13">
        <f>H7*(1+Assumptions!F5)</f>
        <v/>
      </c>
      <c r="J7" s="13">
        <f>I7*(1+Assumptions!G5)</f>
        <v/>
      </c>
      <c r="K7" s="6" t="inlineStr">
        <is>
          <t>FY24-26 audited consolidated (ARs; compute_ratios.py); FY27E-31E from Assumptions growth</t>
        </is>
      </c>
    </row>
    <row r="8">
      <c r="B8" s="4" t="inlineStr">
        <is>
          <t>YoY growth %</t>
        </is>
      </c>
      <c r="C8" s="4" t="inlineStr">
        <is>
          <t>n.a.</t>
        </is>
      </c>
      <c r="D8" s="14">
        <f>D7/C7-1</f>
        <v/>
      </c>
      <c r="E8" s="14">
        <f>E7/D7-1</f>
        <v/>
      </c>
      <c r="F8" s="14">
        <f>F7/E7-1</f>
        <v/>
      </c>
      <c r="G8" s="14">
        <f>G7/F7-1</f>
        <v/>
      </c>
      <c r="H8" s="14">
        <f>H7/G7-1</f>
        <v/>
      </c>
      <c r="I8" s="14">
        <f>I7/H7-1</f>
        <v/>
      </c>
      <c r="J8" s="14">
        <f>J7/I7-1</f>
        <v/>
      </c>
    </row>
    <row r="10">
      <c r="B10" s="6" t="inlineStr">
        <is>
          <t>Segment colour (AR: 5 reporting segments; steel dominates; ~10% exports). BPSL (4.5 mtpa) deconsolidated 27-Mar-26 -&gt; FY27E base excludes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6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58" customWidth="1" min="11" max="11"/>
  </cols>
  <sheetData>
    <row r="2">
      <c r="B2" s="1" t="inlineStr">
        <is>
          <t>Income statement (consolidated, Rs crore)</t>
        </is>
      </c>
    </row>
    <row r="4">
      <c r="B4" s="3" t="inlineStr"/>
      <c r="C4" s="3" t="inlineStr">
        <is>
          <t>FY25A</t>
        </is>
      </c>
      <c r="D4" s="3" t="inlineStr">
        <is>
          <t>FY26A</t>
        </is>
      </c>
      <c r="E4" s="3" t="inlineStr">
        <is>
          <t>FY27E</t>
        </is>
      </c>
      <c r="F4" s="3" t="inlineStr">
        <is>
          <t>FY28E</t>
        </is>
      </c>
      <c r="G4" s="3" t="inlineStr">
        <is>
          <t>FY29E</t>
        </is>
      </c>
      <c r="H4" s="3" t="inlineStr">
        <is>
          <t>FY30E</t>
        </is>
      </c>
      <c r="I4" s="3" t="inlineStr">
        <is>
          <t>FY31E</t>
        </is>
      </c>
    </row>
    <row r="5">
      <c r="B5" s="4" t="inlineStr">
        <is>
          <t>Revenue (&lt;- Revenue Model)</t>
        </is>
      </c>
      <c r="C5" s="15">
        <f>'Revenue Model'!C7</f>
        <v/>
      </c>
      <c r="D5" s="15">
        <f>'Revenue Model'!D7</f>
        <v/>
      </c>
      <c r="E5" s="15">
        <f>'Revenue Model'!E7</f>
        <v/>
      </c>
      <c r="F5" s="15">
        <f>'Revenue Model'!F7</f>
        <v/>
      </c>
      <c r="G5" s="15">
        <f>'Revenue Model'!G7</f>
        <v/>
      </c>
      <c r="H5" s="15">
        <f>'Revenue Model'!H7</f>
        <v/>
      </c>
      <c r="I5" s="15">
        <f>'Revenue Model'!I7</f>
        <v/>
      </c>
      <c r="J5" s="15">
        <f>'Revenue Model'!J7</f>
        <v/>
      </c>
    </row>
    <row r="6">
      <c r="B6" s="12" t="inlineStr">
        <is>
          <t>EBITDA (OPBDITA)</t>
        </is>
      </c>
      <c r="C6" s="7" t="n">
        <v>28236</v>
      </c>
      <c r="D6" s="7" t="n">
        <v>22904</v>
      </c>
      <c r="E6" s="7" t="n">
        <v>29821</v>
      </c>
      <c r="F6" s="13">
        <f>'Revenue Model'!F7*Assumptions!C6</f>
        <v/>
      </c>
      <c r="G6" s="13">
        <f>'Revenue Model'!G7*Assumptions!D6</f>
        <v/>
      </c>
      <c r="H6" s="13">
        <f>'Revenue Model'!H7*Assumptions!E6</f>
        <v/>
      </c>
      <c r="I6" s="13">
        <f>'Revenue Model'!I7*Assumptions!F6</f>
        <v/>
      </c>
      <c r="J6" s="13">
        <f>'Revenue Model'!J7*Assumptions!G6</f>
        <v/>
      </c>
    </row>
    <row r="7">
      <c r="B7" s="4" t="inlineStr">
        <is>
          <t>EBITDA margin %</t>
        </is>
      </c>
      <c r="C7" s="14">
        <f>C6/C5</f>
        <v/>
      </c>
      <c r="D7" s="14">
        <f>D6/D5</f>
        <v/>
      </c>
      <c r="E7" s="14">
        <f>E6/E5</f>
        <v/>
      </c>
      <c r="F7" s="14">
        <f>F6/F5</f>
        <v/>
      </c>
      <c r="G7" s="14">
        <f>G6/G5</f>
        <v/>
      </c>
      <c r="H7" s="14">
        <f>H6/H5</f>
        <v/>
      </c>
      <c r="I7" s="14">
        <f>I6/I5</f>
        <v/>
      </c>
      <c r="J7" s="14">
        <f>J6/J5</f>
        <v/>
      </c>
    </row>
    <row r="8">
      <c r="B8" s="4" t="inlineStr">
        <is>
          <t>Depreciation &amp; amortisation</t>
        </is>
      </c>
      <c r="C8" s="7" t="n">
        <v>8172</v>
      </c>
      <c r="D8" s="7" t="n">
        <v>9309</v>
      </c>
      <c r="E8" s="7" t="n">
        <v>9601</v>
      </c>
      <c r="F8" s="11">
        <f>E8+Assumptions!C7*0.05</f>
        <v/>
      </c>
      <c r="G8" s="11">
        <f>F8+Assumptions!D7*0.05</f>
        <v/>
      </c>
      <c r="H8" s="11">
        <f>G8+Assumptions!E7*0.05</f>
        <v/>
      </c>
      <c r="I8" s="11">
        <f>H8+Assumptions!F7*0.05</f>
        <v/>
      </c>
      <c r="J8" s="11">
        <f>I8+Assumptions!G7*0.05</f>
        <v/>
      </c>
      <c r="K8" s="6" t="inlineStr">
        <is>
          <t>Forward: prior + 5% of capex commissioning - judgment</t>
        </is>
      </c>
    </row>
    <row r="9">
      <c r="B9" s="4" t="inlineStr">
        <is>
          <t>EBIT</t>
        </is>
      </c>
      <c r="C9" s="11">
        <f>C6-C8</f>
        <v/>
      </c>
      <c r="D9" s="11">
        <f>D6-D8</f>
        <v/>
      </c>
      <c r="E9" s="11">
        <f>E6-E8</f>
        <v/>
      </c>
      <c r="F9" s="11">
        <f>F6-F8</f>
        <v/>
      </c>
      <c r="G9" s="11">
        <f>G6-G8</f>
        <v/>
      </c>
      <c r="H9" s="11">
        <f>H6-H8</f>
        <v/>
      </c>
      <c r="I9" s="11">
        <f>I6-I8</f>
        <v/>
      </c>
      <c r="J9" s="11">
        <f>J6-J8</f>
        <v/>
      </c>
    </row>
    <row r="10">
      <c r="B10" s="4" t="inlineStr">
        <is>
          <t>Interest expense</t>
        </is>
      </c>
      <c r="C10" s="7" t="n">
        <v>8105</v>
      </c>
      <c r="D10" s="7" t="n">
        <v>8412</v>
      </c>
      <c r="E10" s="7" t="n">
        <v>9102</v>
      </c>
      <c r="F10" s="11">
        <f>AVERAGE('Balance Sheet'!E5,'Balance Sheet'!F5)*Assumptions!C9</f>
        <v/>
      </c>
      <c r="G10" s="11">
        <f>AVERAGE('Balance Sheet'!F5,'Balance Sheet'!G5)*Assumptions!D9</f>
        <v/>
      </c>
      <c r="H10" s="11">
        <f>AVERAGE('Balance Sheet'!G5,'Balance Sheet'!H5)*Assumptions!E9</f>
        <v/>
      </c>
      <c r="I10" s="11">
        <f>AVERAGE('Balance Sheet'!H5,'Balance Sheet'!I5)*Assumptions!F9</f>
        <v/>
      </c>
      <c r="J10" s="11">
        <f>AVERAGE('Balance Sheet'!I5,'Balance Sheet'!J5)*Assumptions!G9</f>
        <v/>
      </c>
    </row>
    <row r="11">
      <c r="B11" s="4" t="inlineStr">
        <is>
          <t>PBT (pre-exceptional)</t>
        </is>
      </c>
      <c r="C11" s="11">
        <f>C9-C10</f>
        <v/>
      </c>
      <c r="D11" s="11">
        <f>D9-D10</f>
        <v/>
      </c>
      <c r="E11" s="11">
        <f>E9-E10</f>
        <v/>
      </c>
      <c r="F11" s="11">
        <f>F9-F10</f>
        <v/>
      </c>
      <c r="G11" s="11">
        <f>G9-G10</f>
        <v/>
      </c>
      <c r="H11" s="11">
        <f>H9-H10</f>
        <v/>
      </c>
      <c r="I11" s="11">
        <f>I9-I10</f>
        <v/>
      </c>
      <c r="J11" s="11">
        <f>J9-J10</f>
        <v/>
      </c>
    </row>
    <row r="12">
      <c r="B12" s="4" t="inlineStr">
        <is>
          <t>Exceptional gain (BPSL JV, non-cash)</t>
        </is>
      </c>
      <c r="C12" s="7" t="n">
        <v>0</v>
      </c>
      <c r="D12" s="7" t="n">
        <v>0</v>
      </c>
      <c r="E12" s="7" t="n">
        <v>18051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6" t="inlineStr">
        <is>
          <t>AR FY26 Note 48 - slump-sale gain, excluded from run-rate</t>
        </is>
      </c>
    </row>
    <row r="13">
      <c r="B13" s="4" t="inlineStr">
        <is>
          <t>Tax (25% on pre-exceptional PBT fwd)</t>
        </is>
      </c>
      <c r="C13" s="7" t="n">
        <v>3735</v>
      </c>
      <c r="D13" s="7" t="n">
        <v>1732</v>
      </c>
      <c r="E13" s="7" t="n">
        <v>5236</v>
      </c>
      <c r="F13" s="11">
        <f>MAX(F11,0)*Assumptions!C10</f>
        <v/>
      </c>
      <c r="G13" s="11">
        <f>MAX(G11,0)*Assumptions!D10</f>
        <v/>
      </c>
      <c r="H13" s="11">
        <f>MAX(H11,0)*Assumptions!E10</f>
        <v/>
      </c>
      <c r="I13" s="11">
        <f>MAX(I11,0)*Assumptions!F10</f>
        <v/>
      </c>
      <c r="J13" s="11">
        <f>MAX(J11,0)*Assumptions!G10</f>
        <v/>
      </c>
      <c r="K13" s="6" t="inlineStr">
        <is>
          <t>Historical tax = balancing to reported PAT (approx); forward 25%</t>
        </is>
      </c>
    </row>
    <row r="14">
      <c r="B14" s="12" t="inlineStr">
        <is>
          <t>PAT - NORMALISED (pre-exceptional)</t>
        </is>
      </c>
      <c r="C14" s="7" t="n">
        <v>8973</v>
      </c>
      <c r="D14" s="7" t="n">
        <v>3504</v>
      </c>
      <c r="E14" s="7" t="n">
        <v>8698</v>
      </c>
      <c r="F14" s="13">
        <f>F11-F13</f>
        <v/>
      </c>
      <c r="G14" s="13">
        <f>G11-G13</f>
        <v/>
      </c>
      <c r="H14" s="13">
        <f>H11-H13</f>
        <v/>
      </c>
      <c r="I14" s="13">
        <f>I11-I13</f>
        <v/>
      </c>
      <c r="J14" s="13">
        <f>J11-J13</f>
        <v/>
      </c>
      <c r="K14" s="6" t="inlineStr">
        <is>
          <t>FY26 normalised Rs8,698 cr = company-stated ex-exceptionals (Q4 deck); FY24/25 reported (no exceptionals of size)</t>
        </is>
      </c>
    </row>
    <row r="15">
      <c r="B15" s="4" t="inlineStr">
        <is>
          <t>PAT - reported (owners)</t>
        </is>
      </c>
      <c r="C15" s="7" t="n">
        <v>8973</v>
      </c>
      <c r="D15" s="7" t="n">
        <v>3504</v>
      </c>
      <c r="E15" s="7" t="n">
        <v>22316</v>
      </c>
      <c r="F15" s="11">
        <f>F14</f>
        <v/>
      </c>
      <c r="G15" s="11">
        <f>G14</f>
        <v/>
      </c>
      <c r="H15" s="11">
        <f>H14</f>
        <v/>
      </c>
      <c r="I15" s="11">
        <f>I14</f>
        <v/>
      </c>
      <c r="J15" s="11">
        <f>J14</f>
        <v/>
      </c>
    </row>
    <row r="16">
      <c r="B16" s="16" t="inlineStr">
        <is>
          <t>Gross cash accruals (norm PAT + D&amp;A)</t>
        </is>
      </c>
      <c r="C16" s="17">
        <f>C14+C8</f>
        <v/>
      </c>
      <c r="D16" s="17">
        <f>D14+D8</f>
        <v/>
      </c>
      <c r="E16" s="17">
        <f>E14+E8</f>
        <v/>
      </c>
      <c r="F16" s="17">
        <f>F14+F8</f>
        <v/>
      </c>
      <c r="G16" s="17">
        <f>G14+G8</f>
        <v/>
      </c>
      <c r="H16" s="17">
        <f>H14+H8</f>
        <v/>
      </c>
      <c r="I16" s="17">
        <f>I14+I8</f>
        <v/>
      </c>
      <c r="J16" s="17">
        <f>J14+J8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58" customWidth="1" min="11" max="11"/>
  </cols>
  <sheetData>
    <row r="2">
      <c r="B2" s="1" t="inlineStr">
        <is>
          <t>Balance sheet (key credit lines, consolidated, Rs crore)</t>
        </is>
      </c>
    </row>
    <row r="4">
      <c r="B4" s="3" t="inlineStr"/>
      <c r="C4" s="3" t="inlineStr">
        <is>
          <t>FY25A</t>
        </is>
      </c>
      <c r="D4" s="3" t="inlineStr">
        <is>
          <t>FY26A</t>
        </is>
      </c>
      <c r="E4" s="3" t="inlineStr">
        <is>
          <t>FY27E</t>
        </is>
      </c>
      <c r="F4" s="3" t="inlineStr">
        <is>
          <t>FY28E</t>
        </is>
      </c>
      <c r="G4" s="3" t="inlineStr">
        <is>
          <t>FY29E</t>
        </is>
      </c>
      <c r="H4" s="3" t="inlineStr">
        <is>
          <t>FY30E</t>
        </is>
      </c>
      <c r="I4" s="3" t="inlineStr">
        <is>
          <t>FY31E</t>
        </is>
      </c>
    </row>
    <row r="5">
      <c r="B5" s="16" t="inlineStr">
        <is>
          <t>Total debt (borrowings + leases, excl acceptances)</t>
        </is>
      </c>
      <c r="C5" s="7" t="n">
        <v>87984</v>
      </c>
      <c r="D5" s="7" t="n">
        <v>98752</v>
      </c>
      <c r="E5" s="7" t="n">
        <v>99310</v>
      </c>
      <c r="F5" s="17">
        <f>E5+Assumptions!C8</f>
        <v/>
      </c>
      <c r="G5" s="17">
        <f>F5+Assumptions!D8</f>
        <v/>
      </c>
      <c r="H5" s="17">
        <f>G5+Assumptions!E8</f>
        <v/>
      </c>
      <c r="I5" s="17">
        <f>H5+Assumptions!F8</f>
        <v/>
      </c>
      <c r="J5" s="17">
        <f>I5+Assumptions!G8</f>
        <v/>
      </c>
    </row>
    <row r="6">
      <c r="B6" s="4" t="inlineStr">
        <is>
          <t>Acceptances (buyer's credit)</t>
        </is>
      </c>
      <c r="C6" s="7" t="n">
        <v>17654</v>
      </c>
      <c r="D6" s="7" t="n">
        <v>20534</v>
      </c>
      <c r="E6" s="7" t="n">
        <v>19817</v>
      </c>
      <c r="F6" s="11">
        <f>E6</f>
        <v/>
      </c>
      <c r="G6" s="11">
        <f>E6</f>
        <v/>
      </c>
      <c r="H6" s="11">
        <f>E6</f>
        <v/>
      </c>
      <c r="I6" s="11">
        <f>E6</f>
        <v/>
      </c>
      <c r="J6" s="11">
        <f>E6</f>
        <v/>
      </c>
      <c r="K6" s="6" t="inlineStr">
        <is>
          <t>Held flat forward - judgment</t>
        </is>
      </c>
    </row>
    <row r="7">
      <c r="B7" s="4" t="inlineStr">
        <is>
          <t>Cash &amp; liquid investments</t>
        </is>
      </c>
      <c r="C7" s="7" t="n">
        <v>12351</v>
      </c>
      <c r="D7" s="7" t="n">
        <v>19104</v>
      </c>
      <c r="E7" s="7" t="n">
        <v>41507</v>
      </c>
      <c r="F7" s="11">
        <f>E7+'Income Statement'!F16-Assumptions!C7-Assumptions!C11+Assumptions!C8+Assumptions!C12</f>
        <v/>
      </c>
      <c r="G7" s="11">
        <f>F7+'Income Statement'!G16-Assumptions!D7-Assumptions!D11+Assumptions!D8</f>
        <v/>
      </c>
      <c r="H7" s="11">
        <f>G7+'Income Statement'!H16-Assumptions!E7-Assumptions!E11+Assumptions!E8</f>
        <v/>
      </c>
      <c r="I7" s="11">
        <f>H7+'Income Statement'!I16-Assumptions!F7-Assumptions!F11+Assumptions!F8</f>
        <v/>
      </c>
      <c r="J7" s="11">
        <f>I7+'Income Statement'!J16-Assumptions!G7-Assumptions!G11+Assumptions!G8</f>
        <v/>
      </c>
      <c r="K7" s="6" t="inlineStr">
        <is>
          <t>Roll: prior + GCA - capex - dividends + net new debt (+ JFE tranche-2 in FY27)</t>
        </is>
      </c>
    </row>
    <row r="8">
      <c r="B8" s="12" t="inlineStr">
        <is>
          <t>NET DEBT (excl acceptances)</t>
        </is>
      </c>
      <c r="C8" s="13">
        <f>C5-C7</f>
        <v/>
      </c>
      <c r="D8" s="13">
        <f>D5-D7</f>
        <v/>
      </c>
      <c r="E8" s="13">
        <f>E5-E7</f>
        <v/>
      </c>
      <c r="F8" s="13">
        <f>F5-F7</f>
        <v/>
      </c>
      <c r="G8" s="13">
        <f>G5-G7</f>
        <v/>
      </c>
      <c r="H8" s="13">
        <f>H5-H7</f>
        <v/>
      </c>
      <c r="I8" s="13">
        <f>I5-I7</f>
        <v/>
      </c>
      <c r="J8" s="13">
        <f>J5-J7</f>
        <v/>
      </c>
    </row>
    <row r="9">
      <c r="B9" s="4" t="inlineStr">
        <is>
          <t>Tangible net worth (incl NCI)</t>
        </is>
      </c>
      <c r="C9" s="7" t="n">
        <v>79776</v>
      </c>
      <c r="D9" s="7" t="n">
        <v>81666</v>
      </c>
      <c r="E9" s="7" t="n">
        <v>105475</v>
      </c>
      <c r="F9" s="11">
        <f>E9+'Income Statement'!F14-Assumptions!C11+Assumptions!C12</f>
        <v/>
      </c>
      <c r="G9" s="11">
        <f>F9+'Income Statement'!G14-Assumptions!D11</f>
        <v/>
      </c>
      <c r="H9" s="11">
        <f>G9+'Income Statement'!H14-Assumptions!E11</f>
        <v/>
      </c>
      <c r="I9" s="11">
        <f>H9+'Income Statement'!I14-Assumptions!F11</f>
        <v/>
      </c>
      <c r="J9" s="11">
        <f>I9+'Income Statement'!J14-Assumptions!G11</f>
        <v/>
      </c>
      <c r="K9" s="6" t="inlineStr">
        <is>
          <t>Roll: prior + normalised PAT - dividends (+ JFE equity in FY27); FY26 jump incl exceptional gain</t>
        </is>
      </c>
    </row>
    <row r="10">
      <c r="B10" s="4" t="inlineStr">
        <is>
          <t>Total outside liabilities (TA - equity)</t>
        </is>
      </c>
      <c r="C10" s="7" t="n">
        <v>148422</v>
      </c>
      <c r="D10" s="7" t="n">
        <v>159076</v>
      </c>
      <c r="E10" s="7" t="n">
        <v>164201</v>
      </c>
      <c r="F10" s="4" t="inlineStr">
        <is>
          <t>n.a.</t>
        </is>
      </c>
      <c r="G10" s="4" t="inlineStr">
        <is>
          <t>n.a.</t>
        </is>
      </c>
      <c r="H10" s="4" t="inlineStr">
        <is>
          <t>n.a.</t>
        </is>
      </c>
      <c r="I10" s="4" t="inlineStr">
        <is>
          <t>n.a.</t>
        </is>
      </c>
      <c r="J10" s="4" t="inlineStr">
        <is>
          <t>n.a.</t>
        </is>
      </c>
    </row>
    <row r="11">
      <c r="B11" s="4" t="inlineStr">
        <is>
          <t>Current assets / Current liabilities</t>
        </is>
      </c>
      <c r="C11" s="18" t="inlineStr">
        <is>
          <t>64,534 / 66,065</t>
        </is>
      </c>
      <c r="D11" s="18" t="inlineStr">
        <is>
          <t>70,736 / 60,626</t>
        </is>
      </c>
      <c r="E11" s="18" t="inlineStr">
        <is>
          <t>103,435 / 69,377</t>
        </is>
      </c>
      <c r="K11" s="6" t="inlineStr">
        <is>
          <t>AR consolidated balance sheets; forward WC not modelled line-by-line (see caveats)</t>
        </is>
      </c>
    </row>
    <row r="13">
      <c r="B13" s="16" t="inlineStr">
        <is>
          <t>CHECK net debt/EBITDA</t>
        </is>
      </c>
      <c r="C13" s="19">
        <f>C8/'Income Statement'!C6</f>
        <v/>
      </c>
      <c r="D13" s="19">
        <f>D8/'Income Statement'!D6</f>
        <v/>
      </c>
      <c r="E13" s="19">
        <f>E8/'Income Statement'!E6</f>
        <v/>
      </c>
      <c r="F13" s="19">
        <f>F8/'Income Statement'!F6</f>
        <v/>
      </c>
      <c r="G13" s="19">
        <f>G8/'Income Statement'!G6</f>
        <v/>
      </c>
      <c r="H13" s="19">
        <f>H8/'Income Statement'!H6</f>
        <v/>
      </c>
      <c r="I13" s="19">
        <f>I8/'Income Statement'!I6</f>
        <v/>
      </c>
      <c r="J13" s="19">
        <f>J8/'Income Statement'!J6</f>
        <v/>
      </c>
      <c r="K13" s="6" t="inlineStr">
        <is>
          <t>Mgmt ceiling 3.0x (tightened guidance); covenant cap 3.75x (AR)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3" customWidth="1" min="3" max="3"/>
    <col width="13" customWidth="1" min="4" max="4"/>
    <col width="13" customWidth="1" min="5" max="5"/>
    <col width="72" customWidth="1" min="6" max="6"/>
  </cols>
  <sheetData>
    <row r="2">
      <c r="B2" s="1" t="inlineStr">
        <is>
          <t>JSW Steel - consolidated debt breakup (Rs crore) - derived from FY2025-26 AR, reconciled to screener.in</t>
        </is>
      </c>
    </row>
    <row r="4">
      <c r="B4" s="2" t="inlineStr">
        <is>
          <t>A. Balance-sheet borrowings (statutory)</t>
        </is>
      </c>
      <c r="C4" s="3" t="inlineStr">
        <is>
          <t>FY2024</t>
        </is>
      </c>
      <c r="D4" s="3" t="inlineStr">
        <is>
          <t>FY2025</t>
        </is>
      </c>
      <c r="E4" s="3" t="inlineStr">
        <is>
          <t>FY2026</t>
        </is>
      </c>
    </row>
    <row r="5">
      <c r="B5" s="4" t="inlineStr">
        <is>
          <t>Long-term borrowings</t>
        </is>
      </c>
      <c r="C5" s="7" t="n">
        <v>67354</v>
      </c>
      <c r="D5" s="7" t="n">
        <v>81983</v>
      </c>
      <c r="E5" s="7" t="n">
        <v>75608</v>
      </c>
      <c r="F5" s="6" t="inlineStr">
        <is>
          <t>Balance-sheet borrowings note (ties to screener.in consolidated)</t>
        </is>
      </c>
    </row>
    <row r="6">
      <c r="B6" s="4" t="inlineStr">
        <is>
          <t>Short-term borrowings (incl current maturities)</t>
        </is>
      </c>
      <c r="C6" s="7" t="n">
        <v>18221</v>
      </c>
      <c r="D6" s="7" t="n">
        <v>13974</v>
      </c>
      <c r="E6" s="7" t="n">
        <v>19924</v>
      </c>
      <c r="F6" s="6" t="inlineStr">
        <is>
          <t>Same</t>
        </is>
      </c>
    </row>
    <row r="7">
      <c r="B7" s="4" t="inlineStr">
        <is>
          <t>Lease liabilities</t>
        </is>
      </c>
      <c r="C7" s="7" t="n">
        <v>2409</v>
      </c>
      <c r="D7" s="7" t="n">
        <v>2795</v>
      </c>
      <c r="E7" s="7" t="n">
        <v>3778</v>
      </c>
      <c r="F7" s="6" t="inlineStr">
        <is>
          <t>Same</t>
        </is>
      </c>
    </row>
    <row r="8">
      <c r="B8" s="4" t="inlineStr">
        <is>
          <t>Preference capital / other</t>
        </is>
      </c>
      <c r="C8" s="7" t="n">
        <v>0</v>
      </c>
      <c r="D8" s="7" t="n">
        <v>0</v>
      </c>
      <c r="E8" s="7" t="n">
        <v>0</v>
      </c>
      <c r="F8" s="6" t="inlineStr">
        <is>
          <t>Pref 36/64/48 net of 'other borrowings' -36/-64/-48 per screener = nil</t>
        </is>
      </c>
    </row>
    <row r="9">
      <c r="B9" s="12" t="inlineStr">
        <is>
          <t>TOTAL DEBT (incl leases) - used in model/scorecard</t>
        </is>
      </c>
      <c r="C9" s="13">
        <f>SUM(C5:C8)</f>
        <v/>
      </c>
      <c r="D9" s="13">
        <f>SUM(D5:D8)</f>
        <v/>
      </c>
      <c r="E9" s="13">
        <f>SUM(E5:E8)</f>
        <v/>
      </c>
      <c r="F9" s="6" t="inlineStr">
        <is>
          <t>Totals 87,984 / 98,752 / 99,310 - tie EXACTLY to screener.in consolidated borrowings</t>
        </is>
      </c>
    </row>
    <row r="11">
      <c r="B11" s="2" t="inlineStr">
        <is>
          <t>B. Instrument-type view, FY2026 (AR disclosures)</t>
        </is>
      </c>
      <c r="C11" s="2" t="inlineStr"/>
      <c r="D11" s="2" t="inlineStr"/>
      <c r="E11" s="2" t="inlineStr">
        <is>
          <t>FY2026</t>
        </is>
      </c>
    </row>
    <row r="12">
      <c r="B12" s="4" t="inlineStr">
        <is>
          <t>Bonds &amp; debentures (26% of gross debt - incl USD bonds)</t>
        </is>
      </c>
      <c r="E12" s="11">
        <f>0.26*E9</f>
        <v/>
      </c>
      <c r="F12" s="6" t="inlineStr">
        <is>
          <t>AR funding-mix chart: 'Bonds and debentures 26% / Loans and others 74%'</t>
        </is>
      </c>
    </row>
    <row r="13">
      <c r="B13" s="4" t="inlineStr">
        <is>
          <t xml:space="preserve">  of which: domestic NCDs outstanding (standalone)</t>
        </is>
      </c>
      <c r="E13" s="7" t="n">
        <v>6750</v>
      </c>
      <c r="F13" s="6" t="inlineStr">
        <is>
          <t>AR: 'outstanding NCDs aggregate to Rs6,750 crore, all listed on BSE'</t>
        </is>
      </c>
    </row>
    <row r="14">
      <c r="B14" s="4" t="inlineStr">
        <is>
          <t>Loans &amp; others (74% - bank term loans, ECBs, WC)</t>
        </is>
      </c>
      <c r="E14" s="11">
        <f>0.74*E9</f>
        <v/>
      </c>
      <c r="F14" s="6" t="inlineStr">
        <is>
          <t>AR funding-mix chart; incl US$1.8bn syndicated ECBs raised over past 24 months</t>
        </is>
      </c>
    </row>
    <row r="15">
      <c r="B15" s="4" t="inlineStr">
        <is>
          <t>Foreign currency share (64%)</t>
        </is>
      </c>
      <c r="E15" s="11">
        <f>0.64*E9</f>
        <v/>
      </c>
      <c r="F15" s="6" t="inlineStr">
        <is>
          <t>AR: 'INR debt 36% / Foreign currency debt 64%'</t>
        </is>
      </c>
    </row>
    <row r="16">
      <c r="B16" s="4" t="inlineStr">
        <is>
          <t>Acceptances (NOT in borrowings; debt-like sensitivity)</t>
        </is>
      </c>
      <c r="E16" s="7" t="n">
        <v>19817</v>
      </c>
      <c r="F16" s="6" t="inlineStr">
        <is>
          <t>Trade payables note; treated per steel-sector practice</t>
        </is>
      </c>
    </row>
    <row r="18">
      <c r="B18" s="2" t="inlineStr">
        <is>
          <t>C. AR net-debt bridge &amp; reconciliation, FY2026</t>
        </is>
      </c>
      <c r="C18" s="2" t="inlineStr"/>
      <c r="D18" s="2" t="inlineStr"/>
      <c r="E18" s="2" t="inlineStr"/>
    </row>
    <row r="19">
      <c r="B19" s="4" t="inlineStr">
        <is>
          <t>Opening net debt (FY25)</t>
        </is>
      </c>
      <c r="E19" s="7" t="n">
        <v>76563</v>
      </c>
      <c r="F19" s="6" t="inlineStr">
        <is>
          <t>AR net-debt movement chart</t>
        </is>
      </c>
    </row>
    <row r="20">
      <c r="B20" s="4" t="inlineStr">
        <is>
          <t>Closing net debt (FY26) - AR headline</t>
        </is>
      </c>
      <c r="E20" s="7" t="n">
        <v>53870</v>
      </c>
      <c r="F20" s="6" t="inlineStr">
        <is>
          <t>AR: net debt 53,870; cash &amp; equivalents 41,662; ND/Equity 0.51x; ND/EBITDA 1.81x</t>
        </is>
      </c>
    </row>
    <row r="21">
      <c r="B21" s="4" t="inlineStr">
        <is>
          <t xml:space="preserve">  = Borrowings excl leases (75,608+19,924=95,532) - cash 41,662</t>
        </is>
      </c>
      <c r="E21" s="7" t="n">
        <v>53870</v>
      </c>
      <c r="F21" s="6" t="inlineStr">
        <is>
          <t>Arithmetic check = 53,870: TIES</t>
        </is>
      </c>
    </row>
    <row r="22">
      <c r="B22" s="4" t="inlineStr">
        <is>
          <t>Net debt incl leases (model basis: 99,310 - 41,507 model cash)</t>
        </is>
      </c>
      <c r="E22" s="7" t="n">
        <v>57803</v>
      </c>
      <c r="F22" s="6" t="inlineStr">
        <is>
          <t>Model uses cash &amp; CURRENT liquid investments 41,507 (slightly narrower than AR cash 41,662)</t>
        </is>
      </c>
    </row>
    <row r="23">
      <c r="B23" s="4" t="inlineStr">
        <is>
          <t>BPSL-JFE deleveraging - total programme</t>
        </is>
      </c>
      <c r="E23" s="7" t="n">
        <v>37250</v>
      </c>
      <c r="F23" s="6" t="inlineStr">
        <is>
          <t>AR: '~Rs37,250 crore of deleveraging' in two phases</t>
        </is>
      </c>
    </row>
    <row r="24">
      <c r="B24" s="4" t="inlineStr">
        <is>
          <t xml:space="preserve">  tranche-2 expected June 2026</t>
        </is>
      </c>
      <c r="E24" s="7" t="n">
        <v>7875</v>
      </c>
      <c r="F24" s="6" t="inlineStr">
        <is>
          <t>AR (company figure; broker note said 7,880 - AR prevails)</t>
        </is>
      </c>
    </row>
    <row r="25">
      <c r="B25" s="4" t="inlineStr">
        <is>
          <t>Weighted average interest rate Mar-26 (India ops)</t>
        </is>
      </c>
      <c r="E25" s="22" t="n">
        <v>0.0617</v>
      </c>
      <c r="F25" s="6" t="inlineStr">
        <is>
          <t>AR: 6.17% vs 7.12% Mar-25 (-92bps)</t>
        </is>
      </c>
    </row>
    <row r="27">
      <c r="B27" s="2" t="inlineStr">
        <is>
          <t>D. REFERENCE ONLY - CRA-published limits (NOT data; excluded from report tables per user directive)</t>
        </is>
      </c>
      <c r="C27" s="2" t="inlineStr"/>
      <c r="D27" s="2" t="inlineStr"/>
      <c r="E27" s="2" t="inlineStr"/>
    </row>
    <row r="28">
      <c r="B28" s="4" t="inlineStr">
        <is>
          <t>ICRA 2025 action rated-limit total (reference/context only - not company-disclosed)</t>
        </is>
      </c>
      <c r="E28" s="7" t="n">
        <v>94660</v>
      </c>
      <c r="F28" s="6" t="inlineStr">
        <is>
          <t>CRA publications are craft/context references only; limits await issuer confirmation (term sheets)</t>
        </is>
      </c>
    </row>
    <row r="29">
      <c r="B29" s="4" t="inlineStr">
        <is>
          <t>Drawn borrowings FY26 (statutory, above)</t>
        </is>
      </c>
      <c r="E29" s="11">
        <f>E9</f>
        <v/>
      </c>
      <c r="F29" s="6" t="inlineStr">
        <is>
          <t>The two differ by undrawn non-fund-based/unallocated limits + timing (rated table is a 2025 action)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0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58" customWidth="1" min="11" max="11"/>
  </cols>
  <sheetData>
    <row r="2">
      <c r="B2" s="1" t="inlineStr">
        <is>
          <t>Cash flow (derived, Rs crore)</t>
        </is>
      </c>
    </row>
    <row r="4">
      <c r="B4" s="3" t="inlineStr"/>
      <c r="C4" s="3" t="inlineStr">
        <is>
          <t>FY25A</t>
        </is>
      </c>
      <c r="D4" s="3" t="inlineStr">
        <is>
          <t>FY26A</t>
        </is>
      </c>
      <c r="E4" s="3" t="inlineStr">
        <is>
          <t>FY27E</t>
        </is>
      </c>
      <c r="F4" s="3" t="inlineStr">
        <is>
          <t>FY28E</t>
        </is>
      </c>
      <c r="G4" s="3" t="inlineStr">
        <is>
          <t>FY29E</t>
        </is>
      </c>
      <c r="H4" s="3" t="inlineStr">
        <is>
          <t>FY30E</t>
        </is>
      </c>
      <c r="I4" s="3" t="inlineStr">
        <is>
          <t>FY31E</t>
        </is>
      </c>
    </row>
    <row r="5">
      <c r="B5" s="4" t="inlineStr">
        <is>
          <t>Gross cash accruals (norm PAT + D&amp;A)</t>
        </is>
      </c>
      <c r="C5" s="15">
        <f>'Income Statement'!C16</f>
        <v/>
      </c>
      <c r="D5" s="15">
        <f>'Income Statement'!D16</f>
        <v/>
      </c>
      <c r="E5" s="15">
        <f>'Income Statement'!E16</f>
        <v/>
      </c>
      <c r="F5" s="15">
        <f>'Income Statement'!F16</f>
        <v/>
      </c>
      <c r="G5" s="15">
        <f>'Income Statement'!G16</f>
        <v/>
      </c>
      <c r="H5" s="15">
        <f>'Income Statement'!H16</f>
        <v/>
      </c>
      <c r="I5" s="15">
        <f>'Income Statement'!I16</f>
        <v/>
      </c>
      <c r="J5" s="15">
        <f>'Income Statement'!J16</f>
        <v/>
      </c>
    </row>
    <row r="6">
      <c r="B6" s="4" t="inlineStr">
        <is>
          <t>Capex</t>
        </is>
      </c>
      <c r="C6" s="4" t="inlineStr">
        <is>
          <t>n.a.</t>
        </is>
      </c>
      <c r="D6" s="4" t="inlineStr">
        <is>
          <t>n.a.</t>
        </is>
      </c>
      <c r="E6" s="7" t="n">
        <v>15595</v>
      </c>
      <c r="F6" s="15">
        <f>Assumptions!C7</f>
        <v/>
      </c>
      <c r="G6" s="15">
        <f>Assumptions!D7</f>
        <v/>
      </c>
      <c r="H6" s="15">
        <f>Assumptions!E7</f>
        <v/>
      </c>
      <c r="I6" s="15">
        <f>Assumptions!F7</f>
        <v/>
      </c>
      <c r="J6" s="15">
        <f>Assumptions!G7</f>
        <v/>
      </c>
      <c r="K6" s="6" t="inlineStr">
        <is>
          <t>FY26 actual Rs15,595 cr (Q4 deck); FY24/25 consolidated capex not extracted</t>
        </is>
      </c>
    </row>
    <row r="7">
      <c r="B7" s="4" t="inlineStr">
        <is>
          <t>Dividends</t>
        </is>
      </c>
      <c r="C7" s="4" t="inlineStr">
        <is>
          <t>n.a.</t>
        </is>
      </c>
      <c r="D7" s="4" t="inlineStr">
        <is>
          <t>n.a.</t>
        </is>
      </c>
      <c r="E7" s="7" t="n">
        <v>1462</v>
      </c>
      <c r="F7" s="15">
        <f>Assumptions!C11</f>
        <v/>
      </c>
      <c r="G7" s="15">
        <f>Assumptions!D11</f>
        <v/>
      </c>
      <c r="H7" s="15">
        <f>Assumptions!E11</f>
        <v/>
      </c>
      <c r="I7" s="15">
        <f>Assumptions!F11</f>
        <v/>
      </c>
      <c r="J7" s="15">
        <f>Assumptions!G11</f>
        <v/>
      </c>
      <c r="K7" s="6" t="inlineStr">
        <is>
          <t>FY26 approx (prior-year Rs6.0/sh paid); forward per assumptions</t>
        </is>
      </c>
    </row>
    <row r="8">
      <c r="B8" s="12" t="inlineStr">
        <is>
          <t>FREE CASH FLOW (GCA - capex - dividends)</t>
        </is>
      </c>
      <c r="C8" s="4" t="inlineStr">
        <is>
          <t>n.a.</t>
        </is>
      </c>
      <c r="D8" s="4" t="inlineStr">
        <is>
          <t>n.a.</t>
        </is>
      </c>
      <c r="E8" s="13">
        <f>E5-E6-E7</f>
        <v/>
      </c>
      <c r="F8" s="13">
        <f>F5-F6-F7</f>
        <v/>
      </c>
      <c r="G8" s="13">
        <f>G5-G6-G7</f>
        <v/>
      </c>
      <c r="H8" s="13">
        <f>H5-H6-H7</f>
        <v/>
      </c>
      <c r="I8" s="13">
        <f>I5-I6-I7</f>
        <v/>
      </c>
      <c r="J8" s="13">
        <f>J5-J6-J7</f>
        <v/>
      </c>
    </row>
    <row r="10">
      <c r="B10" s="6" t="inlineStr">
        <is>
          <t>Note: working-capital deltas not modelled line-by-line; FY26 CFO per AR reconciles with GCA less WC build. FCF here = pre-WC financing surplus.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58" customWidth="1" min="11" max="11"/>
  </cols>
  <sheetData>
    <row r="2">
      <c r="B2" s="1" t="inlineStr">
        <is>
          <t>Scenarios - Base vs Stress (methodology variables: realisation/margin + volume)</t>
        </is>
      </c>
    </row>
    <row r="4">
      <c r="B4" s="2" t="inlineStr">
        <is>
          <t>Metric</t>
        </is>
      </c>
      <c r="C4" s="3" t="inlineStr">
        <is>
          <t>Base FY28E</t>
        </is>
      </c>
      <c r="D4" s="3" t="inlineStr">
        <is>
          <t>Base FY31E</t>
        </is>
      </c>
      <c r="E4" s="3" t="inlineStr">
        <is>
          <t>Stress FY28E</t>
        </is>
      </c>
      <c r="F4" s="3" t="inlineStr">
        <is>
          <t>Stress FY31E</t>
        </is>
      </c>
    </row>
    <row r="5">
      <c r="B5" s="4" t="inlineStr">
        <is>
          <t>Revenue</t>
        </is>
      </c>
      <c r="C5" s="15">
        <f>'Revenue Model'!G7</f>
        <v/>
      </c>
      <c r="D5" s="15">
        <f>'Revenue Model'!J7</f>
        <v/>
      </c>
      <c r="E5" s="11">
        <f>'Revenue Model'!E7*(1+Assumptions!C5+Assumptions!$C$15)*(1+Assumptions!D5+Assumptions!$C$15)</f>
        <v/>
      </c>
      <c r="F5" s="11">
        <f>E5*(1+Assumptions!E5+Assumptions!$C$15)*(1+Assumptions!F5+Assumptions!$C$15)*(1+Assumptions!G5+Assumptions!$C$15)</f>
        <v/>
      </c>
    </row>
    <row r="6">
      <c r="B6" s="4" t="inlineStr">
        <is>
          <t>EBITDA</t>
        </is>
      </c>
      <c r="C6" s="15">
        <f>'Income Statement'!G6</f>
        <v/>
      </c>
      <c r="D6" s="15">
        <f>'Income Statement'!J6</f>
        <v/>
      </c>
      <c r="E6" s="11">
        <f>E5*(Assumptions!D6+Assumptions!$C$16)</f>
        <v/>
      </c>
      <c r="F6" s="11">
        <f>F5*(Assumptions!G6+Assumptions!$C$16)</f>
        <v/>
      </c>
    </row>
    <row r="7">
      <c r="B7" s="4" t="inlineStr">
        <is>
          <t>Interest (approx, base debt path)</t>
        </is>
      </c>
      <c r="C7" s="15">
        <f>'Income Statement'!G10</f>
        <v/>
      </c>
      <c r="D7" s="15">
        <f>'Income Statement'!J10</f>
        <v/>
      </c>
      <c r="E7" s="11">
        <f>'Income Statement'!G10</f>
        <v/>
      </c>
      <c r="F7" s="11">
        <f>'Income Statement'!J10</f>
        <v/>
      </c>
    </row>
    <row r="8">
      <c r="B8" s="12" t="inlineStr">
        <is>
          <t>Interest coverage (x)</t>
        </is>
      </c>
      <c r="C8" s="20">
        <f>C6/C7</f>
        <v/>
      </c>
      <c r="D8" s="20">
        <f>D6/D7</f>
        <v/>
      </c>
      <c r="E8" s="20">
        <f>E6/E7</f>
        <v/>
      </c>
      <c r="F8" s="20">
        <f>F6/F7</f>
        <v/>
      </c>
    </row>
    <row r="9">
      <c r="B9" s="12" t="inlineStr">
        <is>
          <t>Net debt/EBITDA (x, base debt path)</t>
        </is>
      </c>
      <c r="C9" s="20">
        <f>'Balance Sheet'!G8/C6</f>
        <v/>
      </c>
      <c r="D9" s="20">
        <f>'Balance Sheet'!J8/D6</f>
        <v/>
      </c>
      <c r="E9" s="20">
        <f>'Balance Sheet'!G8/E6</f>
        <v/>
      </c>
      <c r="F9" s="20">
        <f>'Balance Sheet'!J8/F6</f>
        <v/>
      </c>
    </row>
    <row r="11">
      <c r="B11" s="6" t="inlineStr">
        <is>
          <t>Reading: under stress (growth -5pp, margin -250bps) FY28E coverage stays ~2.5-3x and net leverage ~2.5-3x - inside the covenant cap 3.75x but above mgmt ceiling 3.0x; capex flexibility (defer/phase) is the lever. FY25 trough (13.6% margin, 3.5x net) is the historical analogue.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8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58" customWidth="1" min="11" max="11"/>
  </cols>
  <sheetData>
    <row r="2">
      <c r="B2" s="1" t="inlineStr">
        <is>
          <t>DCF inputs (hands off to valuation; used for financial flexibility only)</t>
        </is>
      </c>
    </row>
    <row r="4">
      <c r="B4" s="2" t="inlineStr">
        <is>
          <t>Rs crore</t>
        </is>
      </c>
      <c r="C4" s="3" t="inlineStr">
        <is>
          <t>FY27E</t>
        </is>
      </c>
      <c r="D4" s="3" t="inlineStr">
        <is>
          <t>FY28E</t>
        </is>
      </c>
      <c r="E4" s="3" t="inlineStr">
        <is>
          <t>FY29E</t>
        </is>
      </c>
      <c r="F4" s="3" t="inlineStr">
        <is>
          <t>FY30E</t>
        </is>
      </c>
      <c r="G4" s="3" t="inlineStr">
        <is>
          <t>FY31E</t>
        </is>
      </c>
    </row>
    <row r="5">
      <c r="B5" s="4" t="inlineStr">
        <is>
          <t>EBIT</t>
        </is>
      </c>
      <c r="C5" s="15">
        <f>'Income Statement'!F9</f>
        <v/>
      </c>
      <c r="D5" s="15">
        <f>'Income Statement'!G9</f>
        <v/>
      </c>
      <c r="E5" s="15">
        <f>'Income Statement'!H9</f>
        <v/>
      </c>
      <c r="F5" s="15">
        <f>'Income Statement'!I9</f>
        <v/>
      </c>
      <c r="G5" s="15">
        <f>'Income Statement'!J9</f>
        <v/>
      </c>
    </row>
    <row r="6">
      <c r="B6" s="4" t="inlineStr">
        <is>
          <t>NOPAT (25%)</t>
        </is>
      </c>
      <c r="C6" s="11">
        <f>C5*0.75</f>
        <v/>
      </c>
      <c r="D6" s="11">
        <f>D5*0.75</f>
        <v/>
      </c>
      <c r="E6" s="11">
        <f>E5*0.75</f>
        <v/>
      </c>
      <c r="F6" s="11">
        <f>F5*0.75</f>
        <v/>
      </c>
      <c r="G6" s="11">
        <f>G5*0.75</f>
        <v/>
      </c>
    </row>
    <row r="7">
      <c r="B7" s="4" t="inlineStr">
        <is>
          <t>+ D&amp;A - Capex</t>
        </is>
      </c>
      <c r="C7" s="11">
        <f>'Income Statement'!F8-Assumptions!C7</f>
        <v/>
      </c>
      <c r="D7" s="11">
        <f>'Income Statement'!G8-Assumptions!D7</f>
        <v/>
      </c>
      <c r="E7" s="11">
        <f>'Income Statement'!H8-Assumptions!E7</f>
        <v/>
      </c>
      <c r="F7" s="11">
        <f>'Income Statement'!I8-Assumptions!F7</f>
        <v/>
      </c>
      <c r="G7" s="11">
        <f>'Income Statement'!J8-Assumptions!G7</f>
        <v/>
      </c>
    </row>
    <row r="8">
      <c r="B8" s="12" t="inlineStr">
        <is>
          <t>UNLEVERED FCF (pre-WC)</t>
        </is>
      </c>
      <c r="C8" s="13">
        <f>C6+C7</f>
        <v/>
      </c>
      <c r="D8" s="13">
        <f>D6+D7</f>
        <v/>
      </c>
      <c r="E8" s="13">
        <f>E6+E7</f>
        <v/>
      </c>
      <c r="F8" s="13">
        <f>F6+F7</f>
        <v/>
      </c>
      <c r="G8" s="13">
        <f>G6+G7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K18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58" customWidth="1" min="11" max="11"/>
  </cols>
  <sheetData>
    <row r="2">
      <c r="B2" s="1" t="inlineStr">
        <is>
          <t>Credit ratios - CRISIL conventions (adjusted; acceptances shown both ways)</t>
        </is>
      </c>
    </row>
    <row r="4">
      <c r="B4" s="3" t="inlineStr"/>
      <c r="C4" s="3" t="inlineStr">
        <is>
          <t>FY25A</t>
        </is>
      </c>
      <c r="D4" s="3" t="inlineStr">
        <is>
          <t>FY26A</t>
        </is>
      </c>
      <c r="E4" s="3" t="inlineStr">
        <is>
          <t>FY27E</t>
        </is>
      </c>
      <c r="F4" s="3" t="inlineStr">
        <is>
          <t>FY28E</t>
        </is>
      </c>
      <c r="G4" s="3" t="inlineStr">
        <is>
          <t>FY29E</t>
        </is>
      </c>
      <c r="H4" s="3" t="inlineStr">
        <is>
          <t>FY30E</t>
        </is>
      </c>
      <c r="I4" s="3" t="inlineStr">
        <is>
          <t>FY31E</t>
        </is>
      </c>
    </row>
    <row r="5">
      <c r="B5" s="4" t="inlineStr">
        <is>
          <t>Revenue growth %</t>
        </is>
      </c>
      <c r="C5" s="14" t="inlineStr">
        <is>
          <t>n.a.</t>
        </is>
      </c>
      <c r="D5" s="14">
        <f>'Revenue Model'!D8</f>
        <v/>
      </c>
      <c r="E5" s="14">
        <f>'Revenue Model'!E8</f>
        <v/>
      </c>
      <c r="F5" s="14">
        <f>'Revenue Model'!F8</f>
        <v/>
      </c>
      <c r="G5" s="14">
        <f>'Revenue Model'!G8</f>
        <v/>
      </c>
      <c r="H5" s="14">
        <f>'Revenue Model'!H8</f>
        <v/>
      </c>
      <c r="I5" s="14">
        <f>'Revenue Model'!I8</f>
        <v/>
      </c>
      <c r="J5" s="14">
        <f>'Revenue Model'!J8</f>
        <v/>
      </c>
    </row>
    <row r="6">
      <c r="B6" s="4" t="inlineStr">
        <is>
          <t>EBITDA margin %</t>
        </is>
      </c>
      <c r="C6" s="14">
        <f>'Income Statement'!C7</f>
        <v/>
      </c>
      <c r="D6" s="14">
        <f>'Income Statement'!D7</f>
        <v/>
      </c>
      <c r="E6" s="14">
        <f>'Income Statement'!E7</f>
        <v/>
      </c>
      <c r="F6" s="14">
        <f>'Income Statement'!F7</f>
        <v/>
      </c>
      <c r="G6" s="14">
        <f>'Income Statement'!G7</f>
        <v/>
      </c>
      <c r="H6" s="14">
        <f>'Income Statement'!H7</f>
        <v/>
      </c>
      <c r="I6" s="14">
        <f>'Income Statement'!I7</f>
        <v/>
      </c>
      <c r="J6" s="14">
        <f>'Income Statement'!J7</f>
        <v/>
      </c>
    </row>
    <row r="7">
      <c r="B7" s="4" t="inlineStr">
        <is>
          <t>EBIT margin %</t>
        </is>
      </c>
      <c r="C7" s="14">
        <f>'Income Statement'!C9/'Income Statement'!C5</f>
        <v/>
      </c>
      <c r="D7" s="14">
        <f>'Income Statement'!D9/'Income Statement'!D5</f>
        <v/>
      </c>
      <c r="E7" s="14">
        <f>'Income Statement'!E9/'Income Statement'!E5</f>
        <v/>
      </c>
      <c r="F7" s="14">
        <f>'Income Statement'!F9/'Income Statement'!F5</f>
        <v/>
      </c>
      <c r="G7" s="14">
        <f>'Income Statement'!G9/'Income Statement'!G5</f>
        <v/>
      </c>
      <c r="H7" s="14">
        <f>'Income Statement'!H9/'Income Statement'!H5</f>
        <v/>
      </c>
      <c r="I7" s="14">
        <f>'Income Statement'!I9/'Income Statement'!I5</f>
        <v/>
      </c>
      <c r="J7" s="14">
        <f>'Income Statement'!J9/'Income Statement'!J5</f>
        <v/>
      </c>
    </row>
    <row r="8">
      <c r="B8" s="4" t="inlineStr">
        <is>
          <t>Interest coverage - EBITDA/interest (x)</t>
        </is>
      </c>
      <c r="C8" s="21">
        <f>'Income Statement'!C6/'Income Statement'!C10</f>
        <v/>
      </c>
      <c r="D8" s="21">
        <f>'Income Statement'!D6/'Income Statement'!D10</f>
        <v/>
      </c>
      <c r="E8" s="21">
        <f>'Income Statement'!E6/'Income Statement'!E10</f>
        <v/>
      </c>
      <c r="F8" s="21">
        <f>'Income Statement'!F6/'Income Statement'!F10</f>
        <v/>
      </c>
      <c r="G8" s="21">
        <f>'Income Statement'!G6/'Income Statement'!G10</f>
        <v/>
      </c>
      <c r="H8" s="21">
        <f>'Income Statement'!H6/'Income Statement'!H10</f>
        <v/>
      </c>
      <c r="I8" s="21">
        <f>'Income Statement'!I6/'Income Statement'!I10</f>
        <v/>
      </c>
      <c r="J8" s="21">
        <f>'Income Statement'!J6/'Income Statement'!J10</f>
        <v/>
      </c>
    </row>
    <row r="9">
      <c r="B9" s="4" t="inlineStr">
        <is>
          <t>Gearing - Total debt/TNW (x)</t>
        </is>
      </c>
      <c r="C9" s="21">
        <f>'Balance Sheet'!C5/'Balance Sheet'!C9</f>
        <v/>
      </c>
      <c r="D9" s="21">
        <f>'Balance Sheet'!D5/'Balance Sheet'!D9</f>
        <v/>
      </c>
      <c r="E9" s="21">
        <f>'Balance Sheet'!E5/'Balance Sheet'!E9</f>
        <v/>
      </c>
      <c r="F9" s="21">
        <f>'Balance Sheet'!F5/'Balance Sheet'!F9</f>
        <v/>
      </c>
      <c r="G9" s="21">
        <f>'Balance Sheet'!G5/'Balance Sheet'!G9</f>
        <v/>
      </c>
      <c r="H9" s="21">
        <f>'Balance Sheet'!H5/'Balance Sheet'!H9</f>
        <v/>
      </c>
      <c r="I9" s="21">
        <f>'Balance Sheet'!I5/'Balance Sheet'!I9</f>
        <v/>
      </c>
      <c r="J9" s="21">
        <f>'Balance Sheet'!J5/'Balance Sheet'!J9</f>
        <v/>
      </c>
    </row>
    <row r="10">
      <c r="B10" s="4" t="inlineStr">
        <is>
          <t>Total debt/EBITDA (x)</t>
        </is>
      </c>
      <c r="C10" s="21">
        <f>'Balance Sheet'!C5/'Income Statement'!C6</f>
        <v/>
      </c>
      <c r="D10" s="21">
        <f>'Balance Sheet'!D5/'Income Statement'!D6</f>
        <v/>
      </c>
      <c r="E10" s="21">
        <f>'Balance Sheet'!E5/'Income Statement'!E6</f>
        <v/>
      </c>
      <c r="F10" s="21">
        <f>'Balance Sheet'!F5/'Income Statement'!F6</f>
        <v/>
      </c>
      <c r="G10" s="21">
        <f>'Balance Sheet'!G5/'Income Statement'!G6</f>
        <v/>
      </c>
      <c r="H10" s="21">
        <f>'Balance Sheet'!H5/'Income Statement'!H6</f>
        <v/>
      </c>
      <c r="I10" s="21">
        <f>'Balance Sheet'!I5/'Income Statement'!I6</f>
        <v/>
      </c>
      <c r="J10" s="21">
        <f>'Balance Sheet'!J5/'Income Statement'!J6</f>
        <v/>
      </c>
    </row>
    <row r="11">
      <c r="B11" s="4" t="inlineStr">
        <is>
          <t>Total debt incl acceptances/EBITDA (x)</t>
        </is>
      </c>
      <c r="C11" s="21">
        <f>('Balance Sheet'!C5+'Balance Sheet'!C6)/'Income Statement'!C6</f>
        <v/>
      </c>
      <c r="D11" s="21">
        <f>('Balance Sheet'!D5+'Balance Sheet'!D6)/'Income Statement'!D6</f>
        <v/>
      </c>
      <c r="E11" s="21">
        <f>('Balance Sheet'!E5+'Balance Sheet'!E6)/'Income Statement'!E6</f>
        <v/>
      </c>
      <c r="F11" s="21">
        <f>('Balance Sheet'!F5+'Balance Sheet'!F6)/'Income Statement'!F6</f>
        <v/>
      </c>
      <c r="G11" s="21">
        <f>('Balance Sheet'!G5+'Balance Sheet'!G6)/'Income Statement'!G6</f>
        <v/>
      </c>
      <c r="H11" s="21">
        <f>('Balance Sheet'!H5+'Balance Sheet'!H6)/'Income Statement'!H6</f>
        <v/>
      </c>
      <c r="I11" s="21">
        <f>('Balance Sheet'!I5+'Balance Sheet'!I6)/'Income Statement'!I6</f>
        <v/>
      </c>
      <c r="J11" s="21">
        <f>('Balance Sheet'!J5+'Balance Sheet'!J6)/'Income Statement'!J6</f>
        <v/>
      </c>
    </row>
    <row r="12">
      <c r="B12" s="4" t="inlineStr">
        <is>
          <t>Net debt/EBITDA (x)</t>
        </is>
      </c>
      <c r="C12" s="21">
        <f>'Balance Sheet'!C8/'Income Statement'!C6</f>
        <v/>
      </c>
      <c r="D12" s="21">
        <f>'Balance Sheet'!D8/'Income Statement'!D6</f>
        <v/>
      </c>
      <c r="E12" s="21">
        <f>'Balance Sheet'!E8/'Income Statement'!E6</f>
        <v/>
      </c>
      <c r="F12" s="21">
        <f>'Balance Sheet'!F8/'Income Statement'!F6</f>
        <v/>
      </c>
      <c r="G12" s="21">
        <f>'Balance Sheet'!G8/'Income Statement'!G6</f>
        <v/>
      </c>
      <c r="H12" s="21">
        <f>'Balance Sheet'!H8/'Income Statement'!H6</f>
        <v/>
      </c>
      <c r="I12" s="21">
        <f>'Balance Sheet'!I8/'Income Statement'!I6</f>
        <v/>
      </c>
      <c r="J12" s="21">
        <f>'Balance Sheet'!J8/'Income Statement'!J6</f>
        <v/>
      </c>
    </row>
    <row r="13">
      <c r="B13" s="4" t="inlineStr">
        <is>
          <t>NCA (GCA)/Total debt (x)</t>
        </is>
      </c>
      <c r="C13" s="21">
        <f>'Income Statement'!C16/'Balance Sheet'!C5</f>
        <v/>
      </c>
      <c r="D13" s="21">
        <f>'Income Statement'!D16/'Balance Sheet'!D5</f>
        <v/>
      </c>
      <c r="E13" s="21">
        <f>'Income Statement'!E16/'Balance Sheet'!E5</f>
        <v/>
      </c>
      <c r="F13" s="21">
        <f>'Income Statement'!F16/'Balance Sheet'!F5</f>
        <v/>
      </c>
      <c r="G13" s="21">
        <f>'Income Statement'!G16/'Balance Sheet'!G5</f>
        <v/>
      </c>
      <c r="H13" s="21">
        <f>'Income Statement'!H16/'Balance Sheet'!H5</f>
        <v/>
      </c>
      <c r="I13" s="21">
        <f>'Income Statement'!I16/'Balance Sheet'!I5</f>
        <v/>
      </c>
      <c r="J13" s="21">
        <f>'Income Statement'!J16/'Balance Sheet'!J5</f>
        <v/>
      </c>
    </row>
    <row r="14">
      <c r="B14" s="4" t="inlineStr">
        <is>
          <t>Net cash accruals (GCA)</t>
        </is>
      </c>
      <c r="C14" s="11">
        <f>'Income Statement'!C16</f>
        <v/>
      </c>
      <c r="D14" s="11">
        <f>'Income Statement'!D16</f>
        <v/>
      </c>
      <c r="E14" s="11">
        <f>'Income Statement'!E16</f>
        <v/>
      </c>
      <c r="F14" s="11">
        <f>'Income Statement'!F16</f>
        <v/>
      </c>
      <c r="G14" s="11">
        <f>'Income Statement'!G16</f>
        <v/>
      </c>
      <c r="H14" s="11">
        <f>'Income Statement'!H16</f>
        <v/>
      </c>
      <c r="I14" s="11">
        <f>'Income Statement'!I16</f>
        <v/>
      </c>
      <c r="J14" s="11">
        <f>'Income Statement'!J16</f>
        <v/>
      </c>
    </row>
    <row r="15">
      <c r="B15" s="4" t="inlineStr">
        <is>
          <t>Net debt</t>
        </is>
      </c>
      <c r="C15" s="11">
        <f>'Balance Sheet'!C8</f>
        <v/>
      </c>
      <c r="D15" s="11">
        <f>'Balance Sheet'!D8</f>
        <v/>
      </c>
      <c r="E15" s="11">
        <f>'Balance Sheet'!E8</f>
        <v/>
      </c>
      <c r="F15" s="11">
        <f>'Balance Sheet'!F8</f>
        <v/>
      </c>
      <c r="G15" s="11">
        <f>'Balance Sheet'!G8</f>
        <v/>
      </c>
      <c r="H15" s="11">
        <f>'Balance Sheet'!H8</f>
        <v/>
      </c>
      <c r="I15" s="11">
        <f>'Balance Sheet'!I8</f>
        <v/>
      </c>
      <c r="J15" s="11">
        <f>'Balance Sheet'!J8</f>
        <v/>
      </c>
    </row>
    <row r="16">
      <c r="B16" s="4" t="inlineStr">
        <is>
          <t>TOL/TNW (x) - historical only</t>
        </is>
      </c>
      <c r="C16" s="21">
        <f>1.86</f>
        <v/>
      </c>
      <c r="D16" s="21">
        <f>1.95</f>
        <v/>
      </c>
      <c r="E16" s="21">
        <f>1.56</f>
        <v/>
      </c>
      <c r="F16" s="4" t="inlineStr">
        <is>
          <t>n.a.</t>
        </is>
      </c>
      <c r="G16" s="4" t="inlineStr">
        <is>
          <t>n.a.</t>
        </is>
      </c>
      <c r="H16" s="4" t="inlineStr">
        <is>
          <t>n.a.</t>
        </is>
      </c>
      <c r="I16" s="4" t="inlineStr">
        <is>
          <t>n.a.</t>
        </is>
      </c>
      <c r="J16" s="4" t="inlineStr">
        <is>
          <t>n.a.</t>
        </is>
      </c>
      <c r="K16" s="6" t="inlineStr">
        <is>
          <t>From workpaper (TOL = TA - equity); forward TOL not modelled</t>
        </is>
      </c>
    </row>
    <row r="18">
      <c r="B18" s="6" t="inlineStr">
        <is>
          <t>CRISIL labels: EBITDA (not OPBDIT/PBILDT); adjusted debt incl leases; acceptances shown both ways (agencies typically treat as debt for steel). RoCE FY26 10.5% per workpaper.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2026-07-13T16:49:01Z</dcterms:created>
  <dcterms:modified xmlns:dcterms="http://purl.org/dc/terms/" xmlns:xsi="http://www.w3.org/2001/XMLSchema-instance" xsi:type="dcterms:W3CDTF">2026-07-14T17:14:41Z</dcterms:modified>
</cp:coreProperties>
</file>