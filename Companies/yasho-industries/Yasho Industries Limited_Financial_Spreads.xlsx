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165" fontId="0" fillId="0" borderId="1" pivotButton="0" quotePrefix="0" xfId="0"/>
    <xf numFmtId="1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Yasho Industries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Source</t>
        </is>
      </c>
    </row>
    <row r="6">
      <c r="B6" s="4" t="inlineStr">
        <is>
          <t>Revenue from operations</t>
        </is>
      </c>
      <c r="C6" s="5" t="n">
        <v>595.7</v>
      </c>
      <c r="D6" s="5" t="n">
        <v>675.64</v>
      </c>
      <c r="E6" s="5" t="n">
        <v>830.03</v>
      </c>
      <c r="F6" s="6" t="inlineStr">
        <is>
          <t>FY26 AR, consolidated/standalone as noted P&amp;L L8550 (consol); FY24 standalone</t>
        </is>
      </c>
    </row>
    <row r="7">
      <c r="B7" s="4" t="inlineStr">
        <is>
          <t>EBITDA (as disclosed)</t>
        </is>
      </c>
      <c r="C7" s="5" t="n">
        <v>106.67</v>
      </c>
      <c r="D7" s="5" t="n">
        <v>119.4</v>
      </c>
      <c r="E7" s="5" t="n">
        <v>144.46</v>
      </c>
      <c r="F7" s="6" t="inlineStr">
        <is>
          <t>FY26 AR MD&amp;A 'Key Financials' L1226-1276; FY24 derived PBT+D+I</t>
        </is>
      </c>
    </row>
    <row r="8">
      <c r="B8" s="4" t="inlineStr">
        <is>
          <t>Profit before tax</t>
        </is>
      </c>
      <c r="C8" s="5" t="n">
        <v>76.34</v>
      </c>
      <c r="D8" s="5" t="n">
        <v>8.34</v>
      </c>
      <c r="E8" s="5" t="n">
        <v>33.97</v>
      </c>
      <c r="F8" s="6" t="inlineStr">
        <is>
          <t>FY26 AR, consolidated/standalone as noted consolidated P&amp;L</t>
        </is>
      </c>
    </row>
    <row r="9">
      <c r="B9" s="4" t="inlineStr">
        <is>
          <t>PAT (consolidated)</t>
        </is>
      </c>
      <c r="C9" s="5" t="n">
        <v>57.12</v>
      </c>
      <c r="D9" s="5" t="n">
        <v>6.02</v>
      </c>
      <c r="E9" s="5" t="n">
        <v>25.26</v>
      </c>
      <c r="F9" s="6" t="inlineStr">
        <is>
          <t>FY26 AR, consolidated/standalone as noted consolidated P&amp;L L8589</t>
        </is>
      </c>
    </row>
    <row r="10">
      <c r="B10" s="4" t="inlineStr">
        <is>
          <t>Depreciation &amp; amortisation</t>
        </is>
      </c>
      <c r="C10" s="5" t="n">
        <v>15.62</v>
      </c>
      <c r="D10" s="5" t="n">
        <v>50.06</v>
      </c>
      <c r="E10" s="5" t="n">
        <v>54.77</v>
      </c>
      <c r="F10" s="6" t="inlineStr">
        <is>
          <t>FY26 AR, consolidated/standalone as noted P&amp;L L5261</t>
        </is>
      </c>
    </row>
    <row r="11">
      <c r="B11" s="4" t="inlineStr">
        <is>
          <t>Finance costs</t>
        </is>
      </c>
      <c r="C11" s="5" t="n">
        <v>14.71</v>
      </c>
      <c r="D11" s="5" t="n">
        <v>58.81</v>
      </c>
      <c r="E11" s="5" t="n">
        <v>55.56</v>
      </c>
      <c r="F11" s="6" t="inlineStr">
        <is>
          <t>FY26 AR, consolidated/standalone as noted P&amp;L</t>
        </is>
      </c>
    </row>
    <row r="12">
      <c r="B12" s="4" t="inlineStr">
        <is>
          <t>Borrowings - non current</t>
        </is>
      </c>
      <c r="C12" s="5" t="n">
        <v>333.65</v>
      </c>
      <c r="D12" s="5" t="n">
        <v>324.45</v>
      </c>
      <c r="E12" s="5" t="n">
        <v>289.13</v>
      </c>
      <c r="F12" s="6" t="inlineStr">
        <is>
          <t>FY26 AR, consolidated/standalone as noted BS Note 15</t>
        </is>
      </c>
    </row>
    <row r="13">
      <c r="B13" s="4" t="inlineStr">
        <is>
          <t>Borrowings - current</t>
        </is>
      </c>
      <c r="C13" s="5" t="n">
        <v>214.79</v>
      </c>
      <c r="D13" s="5" t="n">
        <v>234.07</v>
      </c>
      <c r="E13" s="5" t="n">
        <v>251.81</v>
      </c>
      <c r="F13" s="6" t="inlineStr">
        <is>
          <t>FY26 AR, consolidated/standalone as noted BS Note 20</t>
        </is>
      </c>
    </row>
    <row r="14">
      <c r="B14" s="4" t="inlineStr">
        <is>
          <t>Lease liabilities - non current</t>
        </is>
      </c>
      <c r="C14" s="5" t="n">
        <v>21.11</v>
      </c>
      <c r="D14" s="5" t="n">
        <v>12.48</v>
      </c>
      <c r="E14" s="5" t="n">
        <v>6.74</v>
      </c>
      <c r="F14" s="6" t="inlineStr">
        <is>
          <t>FY26 AR, consolidated/standalone as noted BS</t>
        </is>
      </c>
    </row>
    <row r="15">
      <c r="B15" s="4" t="inlineStr">
        <is>
          <t>Lease liabilities - current</t>
        </is>
      </c>
      <c r="C15" s="5" t="n">
        <v>9.49</v>
      </c>
      <c r="D15" s="5" t="n">
        <v>11.56</v>
      </c>
      <c r="E15" s="5" t="n">
        <v>10.25</v>
      </c>
      <c r="F15" s="6" t="inlineStr">
        <is>
          <t>FY26 AR, consolidated/standalone as noted BS</t>
        </is>
      </c>
    </row>
    <row r="16">
      <c r="B16" s="4" t="inlineStr">
        <is>
          <t>Total equity (networth)</t>
        </is>
      </c>
      <c r="C16" s="5" t="n">
        <v>293.36</v>
      </c>
      <c r="D16" s="5" t="n">
        <v>420.6</v>
      </c>
      <c r="E16" s="5" t="n">
        <v>441.31</v>
      </c>
      <c r="F16" s="6" t="inlineStr">
        <is>
          <t>FY26 AR, consolidated/standalone as noted BS; FY25 incl Rs 125cr pref allotment</t>
        </is>
      </c>
    </row>
    <row r="17">
      <c r="B17" s="4" t="inlineStr">
        <is>
          <t>Total assets</t>
        </is>
      </c>
      <c r="C17" s="5" t="n">
        <v>991.6799999999999</v>
      </c>
      <c r="D17" s="5" t="n">
        <v>1093.34</v>
      </c>
      <c r="E17" s="5" t="n">
        <v>1160.12</v>
      </c>
      <c r="F17" s="6" t="inlineStr">
        <is>
          <t>FY26 AR, consolidated/standalone as noted BS</t>
        </is>
      </c>
    </row>
    <row r="18">
      <c r="B18" s="4" t="inlineStr">
        <is>
          <t>Trade receivables</t>
        </is>
      </c>
      <c r="C18" s="5" t="n">
        <v>124.71</v>
      </c>
      <c r="D18" s="5" t="n">
        <v>147.44</v>
      </c>
      <c r="E18" s="5" t="n">
        <v>201.93</v>
      </c>
      <c r="F18" s="6" t="inlineStr">
        <is>
          <t>FY26 AR, consolidated/standalone as noted BS</t>
        </is>
      </c>
    </row>
    <row r="19">
      <c r="B19" s="4" t="inlineStr">
        <is>
          <t>Inventories</t>
        </is>
      </c>
      <c r="C19" s="5" t="n">
        <v>124.96</v>
      </c>
      <c r="D19" s="5" t="n">
        <v>245.13</v>
      </c>
      <c r="E19" s="5" t="n">
        <v>235.05</v>
      </c>
      <c r="F19" s="6" t="inlineStr">
        <is>
          <t>FY26 AR, consolidated/standalone as noted BS</t>
        </is>
      </c>
    </row>
    <row r="20">
      <c r="B20" s="4" t="inlineStr">
        <is>
          <t>Trade payables</t>
        </is>
      </c>
      <c r="C20" s="5" t="n">
        <v>47.87</v>
      </c>
      <c r="D20" s="5" t="n">
        <v>62.78</v>
      </c>
      <c r="E20" s="5" t="n">
        <v>97.20999999999999</v>
      </c>
      <c r="F20" s="6" t="inlineStr">
        <is>
          <t>FY26 AR, consolidated/standalone as noted BS</t>
        </is>
      </c>
    </row>
    <row r="21">
      <c r="B21" s="4" t="inlineStr">
        <is>
          <t>Cash flow from operations</t>
        </is>
      </c>
      <c r="C21" s="5" t="n">
        <v>89.98999999999999</v>
      </c>
      <c r="D21" s="5" t="n">
        <v>45.03</v>
      </c>
      <c r="E21" s="5" t="n">
        <v>151.08</v>
      </c>
      <c r="F21" s="6" t="inlineStr">
        <is>
          <t>FY26 AR, consolidated/standalone as noted Cash Flow Statement</t>
        </is>
      </c>
    </row>
    <row r="22">
      <c r="B22" s="4" t="inlineStr">
        <is>
          <t>Capital expenditure (cash)</t>
        </is>
      </c>
      <c r="C22" s="5" t="n">
        <v>336.99</v>
      </c>
      <c r="D22" s="5" t="n">
        <v>11.15</v>
      </c>
      <c r="E22" s="5" t="n">
        <v>73.84</v>
      </c>
      <c r="F22" s="6" t="inlineStr">
        <is>
          <t>FY26 AR, consolidated/standalone as noted CFS investing; FY24 = Pakhajan greenfield</t>
        </is>
      </c>
    </row>
    <row r="23">
      <c r="B23" s="4" t="inlineStr">
        <is>
          <t>Director/KMP unsecured loans</t>
        </is>
      </c>
      <c r="C23" s="5" t="n"/>
      <c r="D23" s="5" t="n">
        <v>48.51</v>
      </c>
      <c r="E23" s="5" t="n">
        <v>47</v>
      </c>
      <c r="F23" s="6" t="inlineStr">
        <is>
          <t>FY26 AR, consolidated/standalone as noted RPT note - CRISIL Box 1 treatment applies</t>
        </is>
      </c>
    </row>
    <row r="24">
      <c r="B24" s="4" t="inlineStr">
        <is>
          <t>Capacity utilisation (Pakhajan)</t>
        </is>
      </c>
      <c r="C24" s="5" t="n"/>
      <c r="D24" s="5" t="n"/>
      <c r="E24" s="5" t="n">
        <v>0.6</v>
      </c>
      <c r="F24" s="6" t="inlineStr">
        <is>
          <t>Q4FY26 deck narrative ~60%; &gt;65% in Q1FY27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Yasho Industries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EBITDA margin %</t>
        </is>
      </c>
      <c r="C6" s="7">
        <f>Inputs!C7/Inputs!C6</f>
        <v>0.17906664428403557</v>
      </c>
      <c r="D6" s="7">
        <f>Inputs!D7/Inputs!D6</f>
        <v>0.17672133088627082</v>
      </c>
      <c r="E6" s="7">
        <f>Inputs!E7/Inputs!E6</f>
        <v>0.17404190209992412</v>
      </c>
      <c r="F6" s="6" t="inlineStr">
        <is>
          <t>EBITDA / operating revenue</t>
        </is>
      </c>
    </row>
    <row r="7">
      <c r="B7" s="4" t="inlineStr">
        <is>
          <t>PAT margin %</t>
        </is>
      </c>
      <c r="C7" s="8">
        <f>Inputs!C9/Inputs!C6</f>
        <v>0.09588719153936544</v>
      </c>
      <c r="D7" s="8">
        <f>Inputs!D9/Inputs!D6</f>
        <v>0.00891007045171985</v>
      </c>
      <c r="E7" s="8">
        <f>Inputs!E9/Inputs!E6</f>
        <v>0.030432634965001266</v>
      </c>
      <c r="F7" s="6" t="inlineStr">
        <is>
          <t>PAT / operating revenue - CRISIL's KI-table convention</t>
        </is>
      </c>
    </row>
    <row r="8">
      <c r="B8" s="4" t="inlineStr">
        <is>
          <t>Borrowings (excl leases)</t>
        </is>
      </c>
      <c r="C8" s="9">
        <f>(Inputs!C12+Inputs!C13)</f>
        <v>548.4399999999999</v>
      </c>
      <c r="D8" s="9">
        <f>(Inputs!D12+Inputs!D13)</f>
        <v>558.52</v>
      </c>
      <c r="E8" s="9">
        <f>(Inputs!E12+Inputs!E13)</f>
        <v>540.94</v>
      </c>
      <c r="F8" s="6" t="inlineStr">
        <is>
          <t>Non-current + current borrowings</t>
        </is>
      </c>
    </row>
    <row r="9">
      <c r="B9" s="4" t="inlineStr">
        <is>
          <t>Lease liabilities</t>
        </is>
      </c>
      <c r="C9" s="9">
        <f>(Inputs!C14+Inputs!C15)</f>
        <v>30.6</v>
      </c>
      <c r="D9" s="9">
        <f>(Inputs!D14+Inputs!D15)</f>
        <v>24.04</v>
      </c>
      <c r="E9" s="9">
        <f>(Inputs!E14+Inputs!E15)</f>
        <v>16.990000000000002</v>
      </c>
      <c r="F9" s="6" t="inlineStr">
        <is>
          <t>Ind AS 116 lease liabilities</t>
        </is>
      </c>
    </row>
    <row r="10">
      <c r="B10" s="4" t="inlineStr">
        <is>
          <t>CRISIL adjusted debt</t>
        </is>
      </c>
      <c r="C10" s="9">
        <f>((Inputs!C12+Inputs!C13)+(Inputs!C14+Inputs!C15))</f>
        <v>579.04</v>
      </c>
      <c r="D10" s="9">
        <f>((Inputs!D12+Inputs!D13)+(Inputs!D14+Inputs!D15))</f>
        <v>582.56</v>
      </c>
      <c r="E10" s="9">
        <f>((Inputs!E12+Inputs!E13)+(Inputs!E14+Inputs!E15))</f>
        <v>557.9300000000001</v>
      </c>
      <c r="F10" s="6" t="inlineStr">
        <is>
          <t>CRISIL adjusted-debt convention includes lease liabilities</t>
        </is>
      </c>
    </row>
    <row r="11">
      <c r="B11" s="4" t="inlineStr">
        <is>
          <t>Gearing (adj debt / adj NW) x</t>
        </is>
      </c>
      <c r="C11" s="10">
        <f>((Inputs!C12+Inputs!C13)+(Inputs!C14+Inputs!C15))/Inputs!C16</f>
        <v>1.9738205617671118</v>
      </c>
      <c r="D11" s="10">
        <f>((Inputs!D12+Inputs!D13)+(Inputs!D14+Inputs!D15))/Inputs!D16</f>
        <v>1.385068949120304</v>
      </c>
      <c r="E11" s="10">
        <f>((Inputs!E12+Inputs!E13)+(Inputs!E14+Inputs!E15))/Inputs!E16</f>
        <v>1.2642586843715304</v>
      </c>
      <c r="F11" s="6" t="inlineStr">
        <is>
          <t>CRISIL core ratio 1: adjusted total debt / adjusted networth</t>
        </is>
      </c>
    </row>
    <row r="12">
      <c r="B12" s="4" t="inlineStr">
        <is>
          <t>TOL / TNW x</t>
        </is>
      </c>
      <c r="C12" s="10">
        <f>(Inputs!C17-Inputs!C16)/Inputs!C16</f>
        <v>2.3804199618216524</v>
      </c>
      <c r="D12" s="10">
        <f>(Inputs!D17-Inputs!D16)/Inputs!D16</f>
        <v>1.5994769377080358</v>
      </c>
      <c r="E12" s="10">
        <f>(Inputs!E17-Inputs!E16)/Inputs!E16</f>
        <v>1.6288096802701049</v>
      </c>
      <c r="F12" s="6" t="inlineStr">
        <is>
          <t>CRISIL core ratio 2: total outside liabilities / adjusted networth</t>
        </is>
      </c>
    </row>
    <row r="13">
      <c r="B13" s="4" t="inlineStr">
        <is>
          <t>Adjusted debt / EBITDA x</t>
        </is>
      </c>
      <c r="C13" s="10">
        <f>((Inputs!C12+Inputs!C13)+(Inputs!C14+Inputs!C15))/Inputs!C7</f>
        <v>5.428330364676103</v>
      </c>
      <c r="D13" s="10">
        <f>((Inputs!D12+Inputs!D13)+(Inputs!D14+Inputs!D15))/Inputs!D7</f>
        <v>4.879061976549413</v>
      </c>
      <c r="E13" s="10">
        <f>((Inputs!E12+Inputs!E13)+(Inputs!E14+Inputs!E15))/Inputs!E7</f>
        <v>3.862176381005123</v>
      </c>
      <c r="F13" s="6" t="inlineStr">
        <is>
          <t>CRISIL case-to-case alternative to NCATD</t>
        </is>
      </c>
    </row>
    <row r="14">
      <c r="B14" s="4" t="inlineStr">
        <is>
          <t>Interest coverage (PBDIT/int) x</t>
        </is>
      </c>
      <c r="C14" s="10">
        <f>Inputs!C7/Inputs!C11</f>
        <v>7.251529571719918</v>
      </c>
      <c r="D14" s="10">
        <f>Inputs!D7/Inputs!D11</f>
        <v>2.0302669614011224</v>
      </c>
      <c r="E14" s="10">
        <f>Inputs!E7/Inputs!E11</f>
        <v>2.600071994240461</v>
      </c>
      <c r="F14" s="6" t="inlineStr">
        <is>
          <t>CRISIL core ratio 3: PBDIT / interest and finance charges</t>
        </is>
      </c>
    </row>
    <row r="15">
      <c r="B15" s="4" t="inlineStr">
        <is>
          <t>EBIT / interest x  [MD&amp;A basis]</t>
        </is>
      </c>
      <c r="C15" s="10">
        <f>(Inputs!C7-Inputs!C10)/Inputs!C11</f>
        <v>6.189666893269884</v>
      </c>
      <c r="D15" s="10">
        <f>(Inputs!D7-Inputs!D10)/Inputs!D11</f>
        <v>1.1790511817718075</v>
      </c>
      <c r="E15" s="10">
        <f>(Inputs!E7-Inputs!E10)/Inputs!E11</f>
        <v>1.6142908567314613</v>
      </c>
      <c r="F15" s="6" t="inlineStr">
        <is>
          <t>Company's own MD&amp;A convention - reconciles to disclosed 1.61x FY26</t>
        </is>
      </c>
    </row>
    <row r="16">
      <c r="B16" s="4" t="inlineStr">
        <is>
          <t>NCATD %</t>
        </is>
      </c>
      <c r="C16" s="7">
        <f>(Inputs!C9+Inputs!C10)/((Inputs!C12+Inputs!C13)+(Inputs!C14+Inputs!C15))</f>
        <v>0.1256217187068251</v>
      </c>
      <c r="D16" s="7">
        <f>(Inputs!D9+Inputs!D10)/((Inputs!D12+Inputs!D13)+(Inputs!D14+Inputs!D15))</f>
        <v>0.09626476242790442</v>
      </c>
      <c r="E16" s="7">
        <f>(Inputs!E9+Inputs!E10)/((Inputs!E12+Inputs!E13)+(Inputs!E14+Inputs!E15))</f>
        <v>0.14344093345043282</v>
      </c>
      <c r="F16" s="6" t="inlineStr">
        <is>
          <t>CRISIL core ratio: net cash accrual / adjusted total debt</t>
        </is>
      </c>
    </row>
    <row r="17">
      <c r="B17" s="4" t="inlineStr">
        <is>
          <t>RoCE %</t>
        </is>
      </c>
      <c r="C17" s="7">
        <f>(Inputs!C7-Inputs!C10)/(((Inputs!C12+Inputs!C13)+(Inputs!C14+Inputs!C15))+Inputs!C16)</f>
        <v>0.10436726272352131</v>
      </c>
      <c r="D17" s="7">
        <f>(Inputs!D7-Inputs!D10)/(((Inputs!D12+Inputs!D13)+(Inputs!D14+Inputs!D15))+Inputs!D16)</f>
        <v>0.06912157582040752</v>
      </c>
      <c r="E17" s="7">
        <f>(Inputs!E7-Inputs!E10)/(((Inputs!E12+Inputs!E13)+(Inputs!E14+Inputs!E15))+Inputs!E16)</f>
        <v>0.0897582162443457</v>
      </c>
      <c r="F17" s="6" t="inlineStr">
        <is>
          <t>PBIT / (total debt + adjusted networth)</t>
        </is>
      </c>
    </row>
    <row r="18">
      <c r="B18" s="4" t="inlineStr">
        <is>
          <t>Receivable days</t>
        </is>
      </c>
      <c r="C18" s="11">
        <f>365*Inputs!C18/Inputs!C6</f>
        <v>76.41287560852777</v>
      </c>
      <c r="D18" s="11">
        <f>365*Inputs!D18/Inputs!D6</f>
        <v>79.65129358830146</v>
      </c>
      <c r="E18" s="11">
        <f>365*Inputs!E18/Inputs!E6</f>
        <v>88.79733262653157</v>
      </c>
      <c r="F18" s="6" t="inlineStr">
        <is>
          <t>365 x trade receivables / revenue</t>
        </is>
      </c>
    </row>
    <row r="19">
      <c r="B19" s="4" t="inlineStr">
        <is>
          <t>Inventory days</t>
        </is>
      </c>
      <c r="C19" s="11">
        <f>365*Inputs!C19/Inputs!C6</f>
        <v>76.56605673996977</v>
      </c>
      <c r="D19" s="11">
        <f>365*Inputs!D19/Inputs!D6</f>
        <v>132.4262181043159</v>
      </c>
      <c r="E19" s="11">
        <f>365*Inputs!E19/Inputs!E6</f>
        <v>103.36162548341626</v>
      </c>
      <c r="F19" s="6" t="inlineStr">
        <is>
          <t>365 x inventories / revenue</t>
        </is>
      </c>
    </row>
    <row r="20">
      <c r="B20" s="4" t="inlineStr">
        <is>
          <t>Payable days</t>
        </is>
      </c>
      <c r="C20" s="11">
        <f>365*Inputs!C20/Inputs!C6</f>
        <v>29.33112304851435</v>
      </c>
      <c r="D20" s="11">
        <f>365*Inputs!D20/Inputs!D6</f>
        <v>33.91554674086792</v>
      </c>
      <c r="E20" s="11">
        <f>365*Inputs!E20/Inputs!E6</f>
        <v>42.74743081575364</v>
      </c>
      <c r="F20" s="6" t="inlineStr">
        <is>
          <t>365 x trade payables / revenue</t>
        </is>
      </c>
    </row>
    <row r="21">
      <c r="B21" s="4" t="inlineStr">
        <is>
          <t>Net working capital days</t>
        </is>
      </c>
      <c r="C21" s="11">
        <f>365*(Inputs!C18+Inputs!C19-Inputs!C20)/Inputs!C6</f>
        <v>123.64780929998321</v>
      </c>
      <c r="D21" s="11">
        <f>365*(Inputs!D18+Inputs!D19-Inputs!D20)/Inputs!D6</f>
        <v>178.16196495174944</v>
      </c>
      <c r="E21" s="11">
        <f>365*(Inputs!E18+Inputs!E19-Inputs!E20)/Inputs!E6</f>
        <v>149.4115272941942</v>
      </c>
      <c r="F21" s="6" t="inlineStr">
        <is>
          <t>THE sector-critical metric - working capital intensity (company: 190-&gt;143 days Q1FY27)</t>
        </is>
      </c>
    </row>
    <row r="22">
      <c r="B22" s="4" t="inlineStr">
        <is>
          <t>Free cash flow</t>
        </is>
      </c>
      <c r="C22" s="9">
        <f>Inputs!C21-Inputs!C22</f>
        <v>-247.0</v>
      </c>
      <c r="D22" s="9">
        <f>Inputs!D21-Inputs!D22</f>
        <v>33.88</v>
      </c>
      <c r="E22" s="9">
        <f>Inputs!E21-Inputs!E22</f>
        <v>77.24000000000001</v>
      </c>
      <c r="F22" s="6" t="inlineStr">
        <is>
          <t>CFO less cash capex</t>
        </is>
      </c>
    </row>
    <row r="23">
      <c r="B23" s="4" t="inlineStr">
        <is>
          <t>Capex / revenue %</t>
        </is>
      </c>
      <c r="C23" s="7">
        <f>Inputs!C22/Inputs!C6</f>
        <v>0.5657042135303004</v>
      </c>
      <c r="D23" s="7">
        <f>Inputs!D22/Inputs!D6</f>
        <v>0.016502871351607367</v>
      </c>
      <c r="E23" s="7">
        <f>Inputs!E22/Inputs!E6</f>
        <v>0.08896063997686832</v>
      </c>
      <c r="F23" s="6" t="inlineStr">
        <is>
          <t>Capital intensity - FY24 spike is the Pakhajan greenfield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Yasho Industries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FY26 gearing vs MD&amp;A 'Debt/Equity 1.26'</t>
        </is>
      </c>
      <c r="C6" s="9">
        <f>(Inputs!E12+Inputs!E13+Inputs!E14+Inputs!E15)/Inputs!E16</f>
        <v>1.2642586843715304</v>
      </c>
      <c r="D6" s="9" t="n">
        <v>1.26</v>
      </c>
      <c r="E6" s="12">
        <f>IF(ABS(C6-D6)&lt;=MAX(1,ABS(D6)*0.005),"PASS","CHECK")</f>
        <v/>
      </c>
      <c r="F6" s="6" t="inlineStr">
        <is>
          <t>Company's own MD&amp;A ratio table - exact match</t>
        </is>
      </c>
    </row>
    <row r="7">
      <c r="B7" s="4" t="inlineStr">
        <is>
          <t>FY26 EBIT/interest vs MD&amp;A 'Interest Coverage 1.61'</t>
        </is>
      </c>
      <c r="C7" s="9">
        <f>(Inputs!E7-Inputs!E10)/Inputs!E11</f>
        <v>1.6142908567314613</v>
      </c>
      <c r="D7" s="9" t="n">
        <v>1.61</v>
      </c>
      <c r="E7" s="12">
        <f>IF(ABS(C7-D7)&lt;=MAX(1,ABS(D7)*0.005),"PASS","CHECK")</f>
        <v/>
      </c>
      <c r="F7" s="6" t="inlineStr">
        <is>
          <t>Company's own MD&amp;A ratio table - exact match, confirms EBITDA and depreciation</t>
        </is>
      </c>
    </row>
    <row r="8">
      <c r="B8" s="4" t="inlineStr">
        <is>
          <t>FY26 borrowings vs Q4FY26 deck bar chart</t>
        </is>
      </c>
      <c r="C8" s="9">
        <f>Inputs!E12+Inputs!E13</f>
        <v>540.94</v>
      </c>
      <c r="D8" s="9" t="n">
        <v>540.9400000000001</v>
      </c>
      <c r="E8" s="12">
        <f>IF(ABS(C8-D8)&lt;=MAX(1,ABS(D8)*0.005),"PASS","CHECK")</f>
        <v/>
      </c>
      <c r="F8" s="6" t="inlineStr">
        <is>
          <t>Deck shows LT 305.2 + ST 235.7 = Rs 540.9 cr - balance sheet ties to the deck</t>
        </is>
      </c>
    </row>
    <row r="9">
      <c r="B9" s="4" t="inlineStr">
        <is>
          <t>FY26 revenue vs Q4FY26 deck</t>
        </is>
      </c>
      <c r="C9" s="9">
        <f>Inputs!E6</f>
        <v>830.03</v>
      </c>
      <c r="D9" s="9" t="n">
        <v>830.03</v>
      </c>
      <c r="E9" s="12">
        <f>IF(ABS(C9-D9)&lt;=MAX(1,ABS(D9)*0.005),"PASS","CHECK")</f>
        <v/>
      </c>
      <c r="F9" s="6" t="inlineStr">
        <is>
          <t>Company-disclosed FY26 consolidated revenue</t>
        </is>
      </c>
    </row>
    <row r="10">
      <c r="B10" s="4" t="inlineStr">
        <is>
          <t>FY26 EBITDA vs Q4FY26 deck</t>
        </is>
      </c>
      <c r="C10" s="9">
        <f>Inputs!E7</f>
        <v>144.46</v>
      </c>
      <c r="D10" s="9" t="n">
        <v>144.46</v>
      </c>
      <c r="E10" s="12">
        <f>IF(ABS(C10-D10)&lt;=MAX(1,ABS(D10)*0.005),"PASS","CHECK")</f>
        <v/>
      </c>
      <c r="F10" s="6" t="inlineStr">
        <is>
          <t>Deck EBITDA Rs 144.46 cr; independently derived PBT+D+I gives 144.29 - 0.1% variance</t>
        </is>
      </c>
    </row>
    <row r="12">
      <c r="B12" s="13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Yasho Industries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Industry / operating environment</t>
        </is>
      </c>
      <c r="C6" s="14" t="n">
        <v>3</v>
      </c>
      <c r="D6" s="15" t="n">
        <v>0.2</v>
      </c>
      <c r="E6" s="16">
        <f>C6*D6</f>
        <v>0.6000000000000001</v>
      </c>
      <c r="F6" s="6" t="inlineStr">
        <is>
          <t>Speciality chemicals: CRISIL's chemical-industry criteria favours speciality over bulk (proprietary technology, sticky post-qualification customer relationships, low share of customer's cost base, less pronounced cycles). Offset by exposure to crude-linked raw material volatility, Chinese competition on price, and export-market tariff risk which demonstrably suppressed utilisation through Q2-Q3 FY26.</t>
        </is>
      </c>
    </row>
    <row r="7">
      <c r="B7" s="4" t="inlineStr">
        <is>
          <t>Market position</t>
        </is>
      </c>
      <c r="C7" s="14" t="n">
        <v>3</v>
      </c>
      <c r="D7" s="15" t="n">
        <v>0.2</v>
      </c>
      <c r="E7" s="16">
        <f>C7*D7</f>
        <v>0.6000000000000001</v>
      </c>
      <c r="F7" s="6" t="inlineStr">
        <is>
          <t>Rs 830 crore revenue (FY26) across 140+ products in five verticals; ~62-65% exports to USA, Europe, Asia, Middle East. Two plants (Vapi, Pakhajan) with combined peak revenue capacity of Rs 1,450-1,550 crore. Positive: a 15-year lubricant-additives supply agreement with a global MNC, fully customer-funded (Rs 85-90 crore project cost, Rs 98 crore of advances received). Negative: customer-concentration percentages are NOT disclosed in any supplied document, and the Consumer division has compressed from 17% to 11% of revenue in two years without management explanation.</t>
        </is>
      </c>
    </row>
    <row r="8">
      <c r="B8" s="4" t="inlineStr">
        <is>
          <t>Financial risk profile</t>
        </is>
      </c>
      <c r="C8" s="14" t="n">
        <v>4</v>
      </c>
      <c r="D8" s="15" t="n">
        <v>0.45</v>
      </c>
      <c r="E8" s="16">
        <f>C8*D8</f>
        <v>1.8</v>
      </c>
      <c r="F8" s="6" t="inlineStr">
        <is>
          <t>The binding constraint. Gearing 1.26x and TOL/TNW 1.63x remain elevated; adjusted debt/EBITDA 3.86x (FY26) and interest coverage of just 2.60x (PBDIT basis) / 1.61x (EBIT basis) are weak for the mid-BBB/A- boundary. Working capital is heavy - 152 net days FY26, receivable days deteriorating 76-&gt;80-&gt;90. Mitigants are real and improving: FY26 CFO of Rs 151 crore, positive FCF of Rs 77 crore, adjusted debt down Rs 25 crore, and a Rs 125 crore FY25 equity infusion. Q1FY27 marks a step-change - Rs 307.74 crore revenue (48% annualised run-rate uplift), 24.2% EBITDA margin, company-reported debt/EBITDA of 1.86x, working capital cut to 143 days.</t>
        </is>
      </c>
    </row>
    <row r="9">
      <c r="B9" s="4" t="inlineStr">
        <is>
          <t>Management &amp; governance</t>
        </is>
      </c>
      <c r="C9" s="14" t="n">
        <v>3</v>
      </c>
      <c r="D9" s="15" t="n">
        <v>0.15</v>
      </c>
      <c r="E9" s="16">
        <f>C9*D9</f>
        <v>0.44999999999999996</v>
      </c>
      <c r="F9" s="6" t="inlineStr">
        <is>
          <t>Promoter-led (Jhaveri family, 67.91%), three decades of sector operating history, unmodified audit opinions in all three years with no Emphasis of Matter. Watch items: recurring director/KMP unsecured loans of Rs 47 crore (CRISIL Box 1 - treated as debt here, not equity, absent evidence of formal subordination); CSR consistently underspent and deferred to the statutory unspent account in both FY25 and FY26; FY26 Scope 1/2 GHG emissions marked 'Under Process' in the company's own BRSR, a latest-year disclosure gap.</t>
        </is>
      </c>
    </row>
    <row r="10">
      <c r="B10" s="17" t="inlineStr">
        <is>
          <t>Weight check (must be 100%)</t>
        </is>
      </c>
      <c r="D10" s="18">
        <f>SUM(D6:D9)</f>
        <v>1.0</v>
      </c>
      <c r="E10" s="19">
        <f>SUM(E6:E9)</f>
        <v>3.45</v>
      </c>
      <c r="F10" s="17">
        <f>IF(ABS(D10-1)&lt;0.001,"weights sum to 100%","ERROR: weights must sum to 100%")</f>
        <v/>
      </c>
    </row>
    <row r="12" ht="16" customHeight="1">
      <c r="B12" s="17" t="inlineStr">
        <is>
          <t>Weighted composite score</t>
        </is>
      </c>
      <c r="C12" s="20">
        <f>E10</f>
        <v>3.45</v>
      </c>
    </row>
    <row r="13" ht="16" customHeight="1">
      <c r="B13" s="17" t="inlineStr">
        <is>
          <t>Indicative anchor grade (screening only, +/-2 band)</t>
        </is>
      </c>
      <c r="C13" s="20" t="inlineStr">
        <is>
          <t>BBB+ / A- boundary (weighted composite 3.45 - upper-BBB, transitioning)</t>
        </is>
      </c>
    </row>
    <row r="14" ht="16" customHeight="1">
      <c r="B14" s="17" t="inlineStr">
        <is>
          <t>ANALYST RATING VIEW</t>
        </is>
      </c>
      <c r="C14" s="21" t="inlineStr">
        <is>
          <t>Crisil A-/Stable  ·  Crisil A2+</t>
        </is>
      </c>
    </row>
    <row r="15" ht="30" customHeight="1">
      <c r="B15" s="17" t="inlineStr">
        <is>
          <t>Divergence from anchor - explanation</t>
        </is>
      </c>
      <c r="C15" s="20" t="inlineStr">
        <is>
          <t>None against the CURRENT agency action. CRITICAL STEP-14 NOTE: the reference library's CRISIL file (11-Feb-2026 Credit Bulletin) shows Crisil BBB+/Positive and Crisil A2 - this is SUPERSEDED. The issuer's own Q1FY27 investor presentation states verbatim: 'Bank Loan Ratings of the Company has been upgraded/assigned by CRISIL and ICRA from BBB+ to A-.' The current CRISIL rating is therefore A-, and this assessment converges on it independently: the FY26 deleveraging (gearing 1.97-&gt;1.26x, adj debt/EBITDA 5.43-&gt;3.86x), the swing to positive FCF, and the Q1FY27 step-change in scale and margin together support a one-notch upgrade from BBB+. Had the superseded library file been taken as the anchor, this report would have published BBB+ - repeating the Indus Towers failure exactly (CLAUDE.md failure mode 24).</t>
        </is>
      </c>
    </row>
  </sheetData>
  <mergeCells count="5">
    <mergeCell ref="C13:F13"/>
    <mergeCell ref="C12:F12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2026-08-14T06:42:09Z</dcterms:created>
  <dcterms:modified xmlns:dcterms="http://purl.org/dc/terms/" xmlns:xsi="http://www.w3.org/2001/XMLSchema-instance" xsi:type="dcterms:W3CDTF">2026-08-14T06:42:09Z</dcterms:modified>
</cp:coreProperties>
</file>