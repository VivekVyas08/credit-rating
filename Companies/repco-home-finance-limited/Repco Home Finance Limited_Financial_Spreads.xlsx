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RatioSuite" sheetId="2" state="visible" r:id="rId2"/>
    <sheet xmlns:r="http://schemas.openxmlformats.org/officeDocument/2006/relationships" name="TieOut" sheetId="3" state="visible" r:id="rId3"/>
    <sheet xmlns:r="http://schemas.openxmlformats.org/officeDocument/2006/relationships" name="RatingScore" sheetId="4" state="visible" r:id="rId4"/>
  </sheets>
  <definedNames/>
  <calcPr calcId="99999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1B2A4A"/>
      <sz val="13"/>
    </font>
    <font>
      <i val="1"/>
      <color rgb="00666666"/>
      <sz val="9"/>
    </font>
    <font>
      <b val="1"/>
      <color rgb="00FFFFFF"/>
    </font>
    <font>
      <b val="1"/>
    </font>
    <font/>
    <font>
      <b val="1"/>
      <color rgb="000E7C86"/>
    </font>
  </fonts>
  <fills count="4">
    <fill>
      <patternFill/>
    </fill>
    <fill>
      <patternFill patternType="gray125"/>
    </fill>
    <fill>
      <patternFill patternType="solid">
        <fgColor rgb="001B2A4A"/>
      </patternFill>
    </fill>
    <fill>
      <patternFill patternType="solid">
        <fgColor rgb="00FFF9E6"/>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wrapText="1"/>
    </xf>
    <xf numFmtId="0" fontId="0" fillId="0" borderId="1" pivotButton="0" quotePrefix="0" xfId="0"/>
    <xf numFmtId="164" fontId="0" fillId="3" borderId="1" pivotButton="0" quotePrefix="0" xfId="0"/>
    <xf numFmtId="0" fontId="2" fillId="0" borderId="1" applyAlignment="1" pivotButton="0" quotePrefix="0" xfId="0">
      <alignment vertical="top" wrapText="1"/>
    </xf>
    <xf numFmtId="164" fontId="0" fillId="0" borderId="1" pivotButton="0" quotePrefix="0" xfId="0"/>
    <xf numFmtId="2" fontId="0" fillId="0" borderId="1" pivotButton="0" quotePrefix="0" xfId="0"/>
    <xf numFmtId="4" fontId="0" fillId="0" borderId="1" pivotButton="0" quotePrefix="0" xfId="0"/>
    <xf numFmtId="0" fontId="4" fillId="0" borderId="1" applyAlignment="1" pivotButton="0" quotePrefix="0" xfId="0">
      <alignment horizontal="center"/>
    </xf>
    <xf numFmtId="0" fontId="2" fillId="0" borderId="0" pivotButton="0" quotePrefix="0" xfId="0"/>
    <xf numFmtId="0" fontId="0" fillId="3" borderId="1" applyAlignment="1" pivotButton="0" quotePrefix="0" xfId="0">
      <alignment horizontal="center"/>
    </xf>
    <xf numFmtId="9" fontId="0" fillId="3" borderId="1" pivotButton="0" quotePrefix="0" xfId="0"/>
    <xf numFmtId="0" fontId="4" fillId="0" borderId="0" pivotButton="0" quotePrefix="0" xfId="0"/>
    <xf numFmtId="9" fontId="4" fillId="0" borderId="0" pivotButton="0" quotePrefix="0" xfId="0"/>
    <xf numFmtId="2"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4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2" max="2"/>
    <col width="14" customWidth="1" min="3" max="3"/>
    <col width="14" customWidth="1" min="4" max="4"/>
    <col width="14" customWidth="1" min="5" max="5"/>
    <col width="14" customWidth="1" min="6" max="6"/>
    <col width="14" customWidth="1" min="7" max="7"/>
    <col width="64" customWidth="1" min="8" max="8"/>
  </cols>
  <sheetData>
    <row r="2">
      <c r="B2" s="1" t="inlineStr">
        <is>
          <t>Repco Home Finance Limited - extracted line items (Standalone, Rs crore)</t>
        </is>
      </c>
    </row>
    <row r="3" ht="42" customHeight="1">
      <c r="B3" s="2" t="inlineStr">
        <is>
          <t>Yellow cells are EXTRACTED INPUTS traced to the source in the final column - nothing here is computed. Every downstream ratio references this sheet, so correcting a value here reflows the entire workbook.</t>
        </is>
      </c>
    </row>
    <row r="5">
      <c r="B5" s="3" t="inlineStr">
        <is>
          <t>Line item</t>
        </is>
      </c>
      <c r="C5" s="3" t="inlineStr">
        <is>
          <t>FY2023</t>
        </is>
      </c>
      <c r="D5" s="3" t="inlineStr">
        <is>
          <t>FY2024</t>
        </is>
      </c>
      <c r="E5" s="3" t="inlineStr">
        <is>
          <t>FY2025</t>
        </is>
      </c>
      <c r="F5" s="3" t="inlineStr">
        <is>
          <t>FY2026</t>
        </is>
      </c>
      <c r="G5" s="3" t="inlineStr">
        <is>
          <t>Q1FY2027</t>
        </is>
      </c>
      <c r="H5" s="3" t="inlineStr">
        <is>
          <t>Source</t>
        </is>
      </c>
    </row>
    <row r="6">
      <c r="B6" s="4" t="inlineStr">
        <is>
          <t>--- PROFIT AND LOSS ---</t>
        </is>
      </c>
      <c r="C6" s="5" t="inlineStr"/>
      <c r="D6" s="5" t="inlineStr"/>
      <c r="E6" s="5" t="inlineStr"/>
      <c r="F6" s="5" t="inlineStr"/>
      <c r="G6" s="5" t="inlineStr"/>
      <c r="H6" s="6" t="inlineStr"/>
    </row>
    <row r="7">
      <c r="B7" s="4" t="inlineStr">
        <is>
          <t>Interest income</t>
        </is>
      </c>
      <c r="C7" s="5" t="n">
        <v>1257.01</v>
      </c>
      <c r="D7" s="5" t="n">
        <v>1495.98</v>
      </c>
      <c r="E7" s="5" t="n">
        <v>1648.19</v>
      </c>
      <c r="F7" s="5" t="n">
        <v>1750.13</v>
      </c>
      <c r="G7" s="5" t="n">
        <v>456.9</v>
      </c>
      <c r="H7"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8">
      <c r="B8" s="4" t="inlineStr">
        <is>
          <t>Revenue from operations</t>
        </is>
      </c>
      <c r="C8" s="5" t="n">
        <v>1283.74</v>
      </c>
      <c r="D8" s="5" t="n">
        <v>1524.52</v>
      </c>
      <c r="E8" s="5" t="n">
        <v>1685.16</v>
      </c>
      <c r="F8" s="5" t="n">
        <v>1795.79</v>
      </c>
      <c r="G8" s="5" t="n">
        <v>467.7</v>
      </c>
      <c r="H8"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9">
      <c r="B9" s="4" t="inlineStr">
        <is>
          <t>Other income</t>
        </is>
      </c>
      <c r="C9" s="5" t="n">
        <v>15.42</v>
      </c>
      <c r="D9" s="5" t="n">
        <v>16.28</v>
      </c>
      <c r="E9" s="5" t="n">
        <v>39.39</v>
      </c>
      <c r="F9" s="5" t="n">
        <v>1.9</v>
      </c>
      <c r="G9" s="5" t="n">
        <v>0.2</v>
      </c>
      <c r="H9"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0">
      <c r="B10" s="4" t="inlineStr">
        <is>
          <t>Total income</t>
        </is>
      </c>
      <c r="C10" s="5" t="n">
        <v>1299.16</v>
      </c>
      <c r="D10" s="5" t="n">
        <v>1540.8</v>
      </c>
      <c r="E10" s="5" t="n">
        <v>1724.55</v>
      </c>
      <c r="F10" s="5" t="n">
        <v>1797.69</v>
      </c>
      <c r="G10" s="5" t="n">
        <v>467.9</v>
      </c>
      <c r="H10"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1">
      <c r="B11" s="4" t="inlineStr">
        <is>
          <t>Finance costs</t>
        </is>
      </c>
      <c r="C11" s="5" t="n">
        <v>701.0700000000001</v>
      </c>
      <c r="D11" s="5" t="n">
        <v>845.5700000000001</v>
      </c>
      <c r="E11" s="5" t="n">
        <v>965.86</v>
      </c>
      <c r="F11" s="5" t="n">
        <v>984.1799999999999</v>
      </c>
      <c r="G11" s="5" t="n">
        <v>251.29</v>
      </c>
      <c r="H11"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2">
      <c r="B12" s="4" t="inlineStr">
        <is>
          <t>Employee cost</t>
        </is>
      </c>
      <c r="C12" s="5" t="n">
        <v>87.89</v>
      </c>
      <c r="D12" s="5" t="n">
        <v>102.18</v>
      </c>
      <c r="E12" s="5" t="n">
        <v>119.92</v>
      </c>
      <c r="F12" s="5" t="n">
        <v>148.5</v>
      </c>
      <c r="G12" s="5" t="n">
        <v>34.22</v>
      </c>
      <c r="H12"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3">
      <c r="B13" s="4" t="inlineStr">
        <is>
          <t>Depreciation and amortisation</t>
        </is>
      </c>
      <c r="C13" s="5" t="n">
        <v>14.97</v>
      </c>
      <c r="D13" s="5" t="n">
        <v>18.22</v>
      </c>
      <c r="E13" s="5" t="n">
        <v>28.64</v>
      </c>
      <c r="F13" s="5" t="n">
        <v>36.07</v>
      </c>
      <c r="G13" s="5" t="n">
        <v>10.38</v>
      </c>
      <c r="H13"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4">
      <c r="B14" s="4" t="inlineStr">
        <is>
          <t>Other expenses</t>
        </is>
      </c>
      <c r="C14" s="5" t="n">
        <v>42.92</v>
      </c>
      <c r="D14" s="5" t="n">
        <v>50.62</v>
      </c>
      <c r="E14" s="5" t="n">
        <v>60.21</v>
      </c>
      <c r="F14" s="5" t="n">
        <v>73.97</v>
      </c>
      <c r="G14" s="5" t="n">
        <v>14.58</v>
      </c>
      <c r="H14"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5">
      <c r="B15" s="4" t="inlineStr">
        <is>
          <t>Impairment on financial instruments (+ charge / - write-back)</t>
        </is>
      </c>
      <c r="C15" s="5" t="n">
        <v>51.55</v>
      </c>
      <c r="D15" s="5" t="n">
        <v>-0.51</v>
      </c>
      <c r="E15" s="5" t="n">
        <v>-37.57</v>
      </c>
      <c r="F15" s="5" t="n">
        <v>-31.07</v>
      </c>
      <c r="G15" s="5" t="n">
        <v>9.69</v>
      </c>
      <c r="H15"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 - sign as reported; negative = write-back</t>
        </is>
      </c>
    </row>
    <row r="16">
      <c r="B16" s="4" t="inlineStr">
        <is>
          <t>Profit before tax</t>
        </is>
      </c>
      <c r="C16" s="5" t="n">
        <v>400.76</v>
      </c>
      <c r="D16" s="5" t="n">
        <v>524.72</v>
      </c>
      <c r="E16" s="5" t="n">
        <v>587.49</v>
      </c>
      <c r="F16" s="5" t="n">
        <v>586.04</v>
      </c>
      <c r="G16" s="5" t="n">
        <v>147.74</v>
      </c>
      <c r="H16"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7">
      <c r="B17" s="4" t="inlineStr">
        <is>
          <t>Tax expense</t>
        </is>
      </c>
      <c r="C17" s="5" t="n">
        <v>104.68</v>
      </c>
      <c r="D17" s="5" t="n">
        <v>130.02</v>
      </c>
      <c r="E17" s="5" t="n">
        <v>148.05</v>
      </c>
      <c r="F17" s="5" t="n">
        <v>133.27</v>
      </c>
      <c r="G17" s="5" t="n">
        <v>33.59</v>
      </c>
      <c r="H17"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8">
      <c r="B18" s="4" t="inlineStr">
        <is>
          <t>Profit after tax</t>
        </is>
      </c>
      <c r="C18" s="5" t="n">
        <v>296.08</v>
      </c>
      <c r="D18" s="5" t="n">
        <v>394.7</v>
      </c>
      <c r="E18" s="5" t="n">
        <v>439.44</v>
      </c>
      <c r="F18" s="5" t="n">
        <v>452.77</v>
      </c>
      <c r="G18" s="5" t="n">
        <v>114.15</v>
      </c>
      <c r="H18"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19">
      <c r="B19" s="4" t="inlineStr">
        <is>
          <t>--- BALANCE SHEET ---</t>
        </is>
      </c>
      <c r="C19" s="5" t="inlineStr"/>
      <c r="D19" s="5" t="inlineStr"/>
      <c r="E19" s="5" t="inlineStr"/>
      <c r="F19" s="5" t="inlineStr"/>
      <c r="G19" s="5" t="inlineStr"/>
      <c r="H19" s="6" t="inlineStr"/>
    </row>
    <row r="20">
      <c r="B20" s="4" t="inlineStr">
        <is>
          <t>Cash and cash equivalents</t>
        </is>
      </c>
      <c r="C20" s="5" t="n">
        <v>454.43</v>
      </c>
      <c r="D20" s="5" t="n">
        <v>348.21</v>
      </c>
      <c r="E20" s="5" t="n">
        <v>136.29</v>
      </c>
      <c r="F20" s="5" t="inlineStr"/>
      <c r="G20" s="5" t="n">
        <v>136.83</v>
      </c>
      <c r="H20"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1">
      <c r="B21" s="4" t="inlineStr">
        <is>
          <t>Bank balances other than cash</t>
        </is>
      </c>
      <c r="C21" s="5" t="n">
        <v>0</v>
      </c>
      <c r="D21" s="5" t="n">
        <v>60.19</v>
      </c>
      <c r="E21" s="5" t="n">
        <v>0</v>
      </c>
      <c r="F21" s="5" t="inlineStr"/>
      <c r="G21" s="5" t="n">
        <v>5.29</v>
      </c>
      <c r="H21"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2">
      <c r="B22" s="4" t="inlineStr">
        <is>
          <t>Loans (net of impairment allowance)</t>
        </is>
      </c>
      <c r="C22" s="5" t="n">
        <v>11962.15</v>
      </c>
      <c r="D22" s="5" t="n">
        <v>13042.36</v>
      </c>
      <c r="E22" s="5" t="n">
        <v>14109.18</v>
      </c>
      <c r="F22" s="5" t="inlineStr"/>
      <c r="G22" s="5" t="n">
        <v>15708.23</v>
      </c>
      <c r="H22"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3">
      <c r="B23" s="4" t="inlineStr">
        <is>
          <t>Investments</t>
        </is>
      </c>
      <c r="C23" s="5" t="n">
        <v>31.6</v>
      </c>
      <c r="D23" s="5" t="n">
        <v>131.15</v>
      </c>
      <c r="E23" s="5" t="n">
        <v>211.23</v>
      </c>
      <c r="F23" s="5" t="inlineStr"/>
      <c r="G23" s="5" t="n">
        <v>138.1</v>
      </c>
      <c r="H23"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4">
      <c r="B24" s="4" t="inlineStr">
        <is>
          <t>Other intangible assets</t>
        </is>
      </c>
      <c r="C24" s="5" t="n">
        <v>3.64</v>
      </c>
      <c r="D24" s="5" t="n">
        <v>11.05</v>
      </c>
      <c r="E24" s="5" t="n">
        <v>15.98</v>
      </c>
      <c r="F24" s="5" t="inlineStr"/>
      <c r="G24" s="5" t="n">
        <v>17.69</v>
      </c>
      <c r="H24"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5">
      <c r="B25" s="4" t="inlineStr">
        <is>
          <t>Intangible assets under development</t>
        </is>
      </c>
      <c r="C25" s="5" t="n">
        <v>3.88</v>
      </c>
      <c r="D25" s="5" t="n">
        <v>4.48</v>
      </c>
      <c r="E25" s="5" t="n">
        <v>3.05</v>
      </c>
      <c r="F25" s="5" t="inlineStr"/>
      <c r="G25" s="5" t="n">
        <v>5.21</v>
      </c>
      <c r="H25"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6">
      <c r="B26" s="4" t="inlineStr">
        <is>
          <t>Total assets</t>
        </is>
      </c>
      <c r="C26" s="5" t="n">
        <v>12523.43</v>
      </c>
      <c r="D26" s="5" t="n">
        <v>13707.11</v>
      </c>
      <c r="E26" s="5" t="n">
        <v>14602.24</v>
      </c>
      <c r="F26" s="5" t="inlineStr"/>
      <c r="G26" s="5" t="n">
        <v>16245.83</v>
      </c>
      <c r="H26"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27">
      <c r="B27" s="4" t="inlineStr">
        <is>
          <t>Debt securities</t>
        </is>
      </c>
      <c r="C27" s="5" t="n">
        <v>0</v>
      </c>
      <c r="D27" s="5" t="n">
        <v>0</v>
      </c>
      <c r="E27" s="5" t="n">
        <v>0</v>
      </c>
      <c r="F27" s="5" t="inlineStr"/>
      <c r="G27" s="5" t="n">
        <v>199.19</v>
      </c>
      <c r="H27" s="6" t="inlineStr">
        <is>
          <t>FY2025 AR, standalone balance sheet / P&amp;L (audited; FY2024 comparative column) (nil to FY2025) / Q1FY2027 filing, 11-Aug-2026: audited year-ended-31-Mar-2026 column for FY2026 P&amp;L; Reg 54(3) security-cover certificate for the 30-Jun-2026 balance sheet - listed secured NCD 125.49 + other 73.70</t>
        </is>
      </c>
    </row>
    <row r="28">
      <c r="B28" s="4" t="inlineStr">
        <is>
          <t>Borrowings other than debt securities</t>
        </is>
      </c>
      <c r="C28" s="5" t="n">
        <v>9924.08</v>
      </c>
      <c r="D28" s="5" t="n">
        <v>10701.04</v>
      </c>
      <c r="E28" s="5" t="n">
        <v>11139.09</v>
      </c>
      <c r="F28" s="5" t="inlineStr"/>
      <c r="G28" s="5" t="n">
        <v>11887.82</v>
      </c>
      <c r="H28"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 - bank 10,992.79 + others 895.03 at 30-Jun-2026</t>
        </is>
      </c>
    </row>
    <row r="29">
      <c r="B29" s="4" t="inlineStr">
        <is>
          <t>Total liabilities</t>
        </is>
      </c>
      <c r="C29" s="5" t="n">
        <v>10007.26</v>
      </c>
      <c r="D29" s="5" t="n">
        <v>10813.16</v>
      </c>
      <c r="E29" s="5" t="n">
        <v>11288.69</v>
      </c>
      <c r="F29" s="5" t="inlineStr"/>
      <c r="G29" s="5" t="n">
        <v>12227.18</v>
      </c>
      <c r="H29" s="6" t="inlineStr">
        <is>
          <t>FY2023 AR, standalone balance sheet / P&amp;L (audited) / FY2025 AR, standalone balance sheet / P&amp;L (audited; FY2024 comparative column) / Q1FY2027 filing, 11-Aug-2026: audited year-ended-31-Mar-2026 column for FY2026 P&amp;L; Reg 54(3) security-cover certificate for the 30-Jun-2026 balance sheet</t>
        </is>
      </c>
    </row>
    <row r="30">
      <c r="B30" s="4" t="inlineStr">
        <is>
          <t>Total equity (net worth)</t>
        </is>
      </c>
      <c r="C30" s="5" t="n">
        <v>2516.17</v>
      </c>
      <c r="D30" s="5" t="n">
        <v>2893.95</v>
      </c>
      <c r="E30" s="5" t="n">
        <v>3313.55</v>
      </c>
      <c r="F30" s="5" t="inlineStr"/>
      <c r="G30" s="5" t="n">
        <v>4018.65</v>
      </c>
      <c r="H30" s="6" t="inlineStr">
        <is>
          <t>FY2023 AR, standalone balance sheet / P&amp;L (audited) / FY2025 AR, standalone balance sheet / P&amp;L (audited; FY2024 comparative column) / Reg 52(4) disclosure in the Q1FY2027 filing, 30-Jun-2026 (4,018.65, independently published)</t>
        </is>
      </c>
    </row>
    <row r="31">
      <c r="B31" s="4" t="inlineStr">
        <is>
          <t>Impairment allowance on loans</t>
        </is>
      </c>
      <c r="C31" s="5" t="n">
        <v>519.04</v>
      </c>
      <c r="D31" s="5" t="n">
        <v>517.86</v>
      </c>
      <c r="E31" s="5" t="n">
        <v>433.39</v>
      </c>
      <c r="F31" s="5" t="inlineStr"/>
      <c r="G31" s="5" t="n">
        <v>0</v>
      </c>
      <c r="H31" s="6" t="inlineStr">
        <is>
          <t>FY2023 AR, standalone balance sheet / P&amp;L (audited) / FY2025 AR, standalone balance sheet / P&amp;L (audited; FY2024 comparative column) - not disclosed after FY2025</t>
        </is>
      </c>
    </row>
    <row r="32">
      <c r="B32" s="4" t="inlineStr">
        <is>
          <t>Opening total assets (prior period)</t>
        </is>
      </c>
      <c r="C32" s="5" t="n">
        <v>11997.39</v>
      </c>
      <c r="D32" s="5" t="n">
        <v>12523.43</v>
      </c>
      <c r="E32" s="5" t="n">
        <v>13707.11</v>
      </c>
      <c r="F32" s="5" t="inlineStr"/>
      <c r="G32" s="5" t="n">
        <v>15187.1</v>
      </c>
      <c r="H32" s="6" t="inlineStr">
        <is>
          <t>prior-period column of the same statement; 30-Sep-2025 for Q1FY2027 averaging</t>
        </is>
      </c>
    </row>
    <row r="33">
      <c r="B33" s="4" t="inlineStr">
        <is>
          <t>Opening total equity (prior period)</t>
        </is>
      </c>
      <c r="C33" s="5" t="n">
        <v>2235.6</v>
      </c>
      <c r="D33" s="5" t="n">
        <v>2516.17</v>
      </c>
      <c r="E33" s="5" t="n">
        <v>2893.95</v>
      </c>
      <c r="F33" s="5" t="inlineStr"/>
      <c r="G33" s="5" t="n">
        <v>3487.28</v>
      </c>
      <c r="H33" s="6" t="inlineStr">
        <is>
          <t>prior-period column of the same statement; 30-Sep-2025 for Q1FY2027 averaging</t>
        </is>
      </c>
    </row>
    <row r="34">
      <c r="B34" s="4" t="inlineStr">
        <is>
          <t>Opening impairment allowance (prior period)</t>
        </is>
      </c>
      <c r="C34" s="5" t="n">
        <v>471.63</v>
      </c>
      <c r="D34" s="5" t="n">
        <v>519.04</v>
      </c>
      <c r="E34" s="5" t="n">
        <v>517.86</v>
      </c>
      <c r="F34" s="5" t="inlineStr"/>
      <c r="G34" s="5" t="inlineStr"/>
      <c r="H34" s="6" t="inlineStr">
        <is>
          <t>prior-period column of the same statement</t>
        </is>
      </c>
    </row>
    <row r="35">
      <c r="B35" s="4" t="inlineStr">
        <is>
          <t>--- DISCLOSED / REGULATORY (not computed here) ---</t>
        </is>
      </c>
      <c r="C35" s="5" t="inlineStr"/>
      <c r="D35" s="5" t="inlineStr"/>
      <c r="E35" s="5" t="inlineStr"/>
      <c r="F35" s="5" t="inlineStr"/>
      <c r="G35" s="5" t="inlineStr"/>
      <c r="H35" s="6" t="inlineStr"/>
    </row>
    <row r="36">
      <c r="B36" s="4" t="inlineStr">
        <is>
          <t>AUM - loan book as reported (Rs cr)</t>
        </is>
      </c>
      <c r="C36" s="5" t="n">
        <v>12449</v>
      </c>
      <c r="D36" s="5" t="n">
        <v>13513</v>
      </c>
      <c r="E36" s="5" t="n">
        <v>14492</v>
      </c>
      <c r="F36" s="5" t="inlineStr"/>
      <c r="G36" s="5" t="inlineStr"/>
      <c r="H36" s="6" t="inlineStr">
        <is>
          <t>FY2025 AR, management discussion and analysis / regulatory notes</t>
        </is>
      </c>
    </row>
    <row r="37">
      <c r="B37" s="4" t="inlineStr">
        <is>
          <t>Disbursements (Rs cr)</t>
        </is>
      </c>
      <c r="C37" s="5" t="n">
        <v>2919</v>
      </c>
      <c r="D37" s="5" t="n">
        <v>3135</v>
      </c>
      <c r="E37" s="5" t="n">
        <v>3284</v>
      </c>
      <c r="F37" s="5" t="inlineStr"/>
      <c r="G37" s="5" t="inlineStr"/>
      <c r="H37" s="6" t="inlineStr">
        <is>
          <t>FY2025 AR, management discussion and analysis / regulatory notes</t>
        </is>
      </c>
    </row>
    <row r="38">
      <c r="B38" s="4" t="inlineStr">
        <is>
          <t>Gross NPA % - excluding interest accrued and EIR</t>
        </is>
      </c>
      <c r="C38" s="5" t="n">
        <v>5.8</v>
      </c>
      <c r="D38" s="5" t="n">
        <v>4.08</v>
      </c>
      <c r="E38" s="5" t="n">
        <v>3.26</v>
      </c>
      <c r="F38" s="5" t="inlineStr"/>
      <c r="G38" s="5" t="n">
        <v>2.67</v>
      </c>
      <c r="H38" s="6" t="inlineStr">
        <is>
          <t>FY2025 AR, management discussion and analysis / regulatory notes / Reg 52(4) disclosure in the Q1FY2027 filing, 30-Jun-2026</t>
        </is>
      </c>
    </row>
    <row r="39">
      <c r="B39" s="4" t="inlineStr">
        <is>
          <t>Net NPA % - excluding interest accrued and EIR</t>
        </is>
      </c>
      <c r="C39" s="5" t="inlineStr"/>
      <c r="D39" s="5" t="n">
        <v>1.46</v>
      </c>
      <c r="E39" s="5" t="n">
        <v>1.32</v>
      </c>
      <c r="F39" s="5" t="inlineStr"/>
      <c r="G39" s="5" t="n">
        <v>1.23</v>
      </c>
      <c r="H39" s="6" t="inlineStr">
        <is>
          <t>FY2025 AR, management discussion and analysis / regulatory notes / Reg 52(4) disclosure in the Q1FY2027 filing, 30-Jun-2026</t>
        </is>
      </c>
    </row>
    <row r="40">
      <c r="B40" s="4" t="inlineStr">
        <is>
          <t>Gross NPA % - including interest accrued (RBI sectoral format)</t>
        </is>
      </c>
      <c r="C40" s="5" t="inlineStr"/>
      <c r="D40" s="5" t="inlineStr"/>
      <c r="E40" s="5" t="inlineStr"/>
      <c r="F40" s="5" t="inlineStr"/>
      <c r="G40" s="5" t="n">
        <v>3.33</v>
      </c>
      <c r="H40" s="6" t="inlineStr">
        <is>
          <t>Reg 52(4) disclosure in the Q1FY2027 filing, 30-Jun-2026; FY2025 equivalent is 3.99% per the AR</t>
        </is>
      </c>
    </row>
    <row r="41">
      <c r="B41" s="4" t="inlineStr">
        <is>
          <t>Capital-to-risk-weighted-assets ratio %</t>
        </is>
      </c>
      <c r="C41" s="5" t="n">
        <v>35.79</v>
      </c>
      <c r="D41" s="5" t="n">
        <v>33.97</v>
      </c>
      <c r="E41" s="5" t="n">
        <v>37.09</v>
      </c>
      <c r="F41" s="5" t="inlineStr"/>
      <c r="G41" s="5" t="inlineStr"/>
      <c r="H41" s="6" t="inlineStr">
        <is>
          <t>FY2025 AR, management discussion and analysis / regulatory notes Note 32.1 - not disclosed in any FY2026/FY2027 quarterly filing</t>
        </is>
      </c>
    </row>
    <row r="42">
      <c r="B42" s="4" t="inlineStr">
        <is>
          <t>Tier I ratio %</t>
        </is>
      </c>
      <c r="C42" s="5" t="inlineStr"/>
      <c r="D42" s="5" t="n">
        <v>33.19</v>
      </c>
      <c r="E42" s="5" t="n">
        <v>36.41</v>
      </c>
      <c r="F42" s="5" t="inlineStr"/>
      <c r="G42" s="5" t="inlineStr"/>
      <c r="H42" s="6" t="inlineStr">
        <is>
          <t>FY2025 AR, management discussion and analysis / regulatory notes Note 32.1</t>
        </is>
      </c>
    </row>
    <row r="43">
      <c r="B43" s="4" t="inlineStr">
        <is>
          <t>Provision coverage ratio %</t>
        </is>
      </c>
      <c r="C43" s="5" t="inlineStr"/>
      <c r="D43" s="5" t="inlineStr"/>
      <c r="E43" s="5" t="inlineStr"/>
      <c r="F43" s="5" t="inlineStr"/>
      <c r="G43" s="5" t="n">
        <v>43.48</v>
      </c>
      <c r="H43" s="6" t="inlineStr">
        <is>
          <t>Reg 52(4) disclosure in the Q1FY2027 filing, 30-Jun-2026</t>
        </is>
      </c>
    </row>
    <row r="44">
      <c r="B44" s="4" t="inlineStr">
        <is>
          <t>Liquidity coverage ratio %</t>
        </is>
      </c>
      <c r="C44" s="5" t="inlineStr"/>
      <c r="D44" s="5" t="inlineStr"/>
      <c r="E44" s="5" t="inlineStr"/>
      <c r="F44" s="5" t="inlineStr"/>
      <c r="G44" s="5" t="n">
        <v>202.13</v>
      </c>
      <c r="H44" s="6" t="inlineStr">
        <is>
          <t>Reg 52(4) disclosure in the Q1FY2027 filing, 30-Jun-2026</t>
        </is>
      </c>
    </row>
    <row r="45">
      <c r="B45" s="4" t="inlineStr">
        <is>
          <t>Branches</t>
        </is>
      </c>
      <c r="C45" s="5" t="n">
        <v>159</v>
      </c>
      <c r="D45" s="5" t="n">
        <v>168</v>
      </c>
      <c r="E45" s="5" t="n">
        <v>189</v>
      </c>
      <c r="F45" s="5" t="inlineStr"/>
      <c r="G45" s="5" t="inlineStr"/>
      <c r="H45" s="6" t="inlineStr">
        <is>
          <t>FY2025 AR, management discussion and analysis / regulatory notes</t>
        </is>
      </c>
    </row>
    <row r="46">
      <c r="B46" s="4" t="inlineStr">
        <is>
          <t>Home equity (non-housing) book (Rs cr)</t>
        </is>
      </c>
      <c r="C46" s="5" t="n">
        <v>2575</v>
      </c>
      <c r="D46" s="5" t="n">
        <v>3414</v>
      </c>
      <c r="E46" s="5" t="n">
        <v>3909</v>
      </c>
      <c r="F46" s="5" t="inlineStr"/>
      <c r="G46" s="5" t="inlineStr"/>
      <c r="H46" s="6" t="inlineStr">
        <is>
          <t>FY2025 AR six-year highlights table</t>
        </is>
      </c>
    </row>
    <row r="47">
      <c r="B47" s="4" t="inlineStr">
        <is>
          <t>Undisbursed sanction commitment (Rs cr)</t>
        </is>
      </c>
      <c r="C47" s="5" t="inlineStr"/>
      <c r="D47" s="5" t="n">
        <v>492.05</v>
      </c>
      <c r="E47" s="5" t="n">
        <v>791.11</v>
      </c>
      <c r="F47" s="5" t="inlineStr"/>
      <c r="G47" s="5" t="inlineStr"/>
      <c r="H47" s="6" t="inlineStr">
        <is>
          <t>FY2025 AR Note 39.2 Commitments - sanction pending disbursement, NOT an assigned book</t>
        </is>
      </c>
    </row>
  </sheetData>
  <mergeCells count="1">
    <mergeCell ref="B3: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0" customWidth="1" min="2" max="2"/>
    <col width="14" customWidth="1" min="3" max="3"/>
    <col width="14" customWidth="1" min="4" max="4"/>
    <col width="14" customWidth="1" min="5" max="5"/>
    <col width="14" customWidth="1" min="6" max="6"/>
    <col width="14" customWidth="1" min="7" max="7"/>
    <col width="46" customWidth="1" min="8" max="8"/>
    <col width="52" customWidth="1" min="9" max="9"/>
  </cols>
  <sheetData>
    <row r="2">
      <c r="B2" s="1" t="inlineStr">
        <is>
          <t>Repco Home Finance Limited - ratio suite (Standalone, Rs crore; agency conventions applied)</t>
        </is>
      </c>
    </row>
    <row r="3" ht="42" customHeight="1">
      <c r="B3" s="2" t="inlineStr">
        <is>
          <t>Every value is a LIVE FORMULA referencing the Inputs sheet - click any cell to see the arithmetic. 'Calculation' states the same formula in words; 'Convention' records the definitional choice (lease treatment, normalisation, netting) so the basis is auditable.</t>
        </is>
      </c>
    </row>
    <row r="5">
      <c r="B5" s="3" t="inlineStr">
        <is>
          <t>Ratio</t>
        </is>
      </c>
      <c r="C5" s="3" t="inlineStr">
        <is>
          <t>FY2023</t>
        </is>
      </c>
      <c r="D5" s="3" t="inlineStr">
        <is>
          <t>FY2024</t>
        </is>
      </c>
      <c r="E5" s="3" t="inlineStr">
        <is>
          <t>FY2025</t>
        </is>
      </c>
      <c r="F5" s="3" t="inlineStr">
        <is>
          <t>FY2026</t>
        </is>
      </c>
      <c r="G5" s="3" t="inlineStr">
        <is>
          <t>Q1FY2027</t>
        </is>
      </c>
      <c r="H5" s="3" t="inlineStr">
        <is>
          <t>Calculation</t>
        </is>
      </c>
      <c r="I5" s="3" t="inlineStr">
        <is>
          <t>Convention / note</t>
        </is>
      </c>
    </row>
    <row r="6">
      <c r="B6" s="4" t="inlineStr">
        <is>
          <t>Net interest income (Rs cr)</t>
        </is>
      </c>
      <c r="C6" s="7">
        <f>(Inputs!C8-Inputs!C11)</f>
        <v>582.67</v>
      </c>
      <c r="D6" s="7">
        <f>(Inputs!D8-Inputs!D11)</f>
        <v>678.9499999999999</v>
      </c>
      <c r="E6" s="7">
        <f>(Inputs!E8-Inputs!E11)</f>
        <v>719.3000000000001</v>
      </c>
      <c r="F6" s="7">
        <f>(Inputs!F8-Inputs!F11)</f>
        <v>811.61</v>
      </c>
      <c r="G6" s="7">
        <f>(Inputs!G8-Inputs!G11)</f>
        <v>216.41</v>
      </c>
      <c r="H6" s="6" t="inlineStr">
        <is>
          <t>revenue from operations less finance costs</t>
        </is>
      </c>
    </row>
    <row r="7">
      <c r="B7" s="4" t="inlineStr">
        <is>
          <t>Pre-provision operating profit (Rs cr)</t>
        </is>
      </c>
      <c r="C7" s="7">
        <f>Inputs!C16+Inputs!C15</f>
        <v>452.31</v>
      </c>
      <c r="D7" s="7">
        <f>Inputs!D16+Inputs!D15</f>
        <v>524.21</v>
      </c>
      <c r="E7" s="7">
        <f>Inputs!E16+Inputs!E15</f>
        <v>549.92</v>
      </c>
      <c r="F7" s="7">
        <f>Inputs!F16+Inputs!F15</f>
        <v>554.9699999999999</v>
      </c>
      <c r="G7" s="7">
        <f>Inputs!G16+Inputs!G15</f>
        <v>157.43</v>
      </c>
      <c r="H7" s="6" t="inlineStr">
        <is>
          <t>PBT add back the impairment line, so the credit-cost swing is visible</t>
        </is>
      </c>
    </row>
    <row r="8">
      <c r="B8" s="4" t="inlineStr">
        <is>
          <t>Operating expenses (Rs cr)</t>
        </is>
      </c>
      <c r="C8" s="7">
        <f>(Inputs!C12+Inputs!C13+Inputs!C14)</f>
        <v>145.78</v>
      </c>
      <c r="D8" s="7">
        <f>(Inputs!D12+Inputs!D13+Inputs!D14)</f>
        <v>171.02</v>
      </c>
      <c r="E8" s="7">
        <f>(Inputs!E12+Inputs!E13+Inputs!E14)</f>
        <v>208.77</v>
      </c>
      <c r="F8" s="7">
        <f>(Inputs!F12+Inputs!F13+Inputs!F14)</f>
        <v>258.53999999999996</v>
      </c>
      <c r="G8" s="7">
        <f>(Inputs!G12+Inputs!G13+Inputs!G14)</f>
        <v>59.18</v>
      </c>
      <c r="H8" s="6" t="inlineStr">
        <is>
          <t>employee + depreciation + other expenses</t>
        </is>
      </c>
    </row>
    <row r="9">
      <c r="B9" s="4" t="inlineStr">
        <is>
          <t>Total managed assets (Rs cr)</t>
        </is>
      </c>
      <c r="C9" s="7">
        <f>IF(Inputs!C26="","NA",(Inputs!C26+Inputs!C31))</f>
        <v>13042.470000000001</v>
      </c>
      <c r="D9" s="7">
        <f>IF(Inputs!D26="","NA",(Inputs!D26+Inputs!D31))</f>
        <v>14224.970000000001</v>
      </c>
      <c r="E9" s="7">
        <f>IF(Inputs!E26="","NA",(Inputs!E26+Inputs!E31))</f>
        <v>15035.63</v>
      </c>
      <c r="F9" s="7" t="str">
        <f>IF(Inputs!F26="","NA",(Inputs!F26+Inputs!F31))</f>
        <v>NA</v>
      </c>
      <c r="G9" s="7">
        <f>IF(Inputs!G26="","NA",(Inputs!G26+Inputs!G31))</f>
        <v>16245.83</v>
      </c>
      <c r="H9" s="6" t="inlineStr">
        <is>
          <t>total assets + impairment allowance (ICRA definition)</t>
        </is>
      </c>
    </row>
    <row r="10">
      <c r="B10" s="4" t="inlineStr">
        <is>
          <t>Total debt (Rs cr)</t>
        </is>
      </c>
      <c r="C10" s="7">
        <f>IF(Inputs!C26="","NA",(Inputs!C27+Inputs!C28))</f>
        <v>9924.08</v>
      </c>
      <c r="D10" s="7">
        <f>IF(Inputs!D26="","NA",(Inputs!D27+Inputs!D28))</f>
        <v>10701.04</v>
      </c>
      <c r="E10" s="7">
        <f>IF(Inputs!E26="","NA",(Inputs!E27+Inputs!E28))</f>
        <v>11139.09</v>
      </c>
      <c r="F10" s="7" t="str">
        <f>IF(Inputs!F26="","NA",(Inputs!F27+Inputs!F28))</f>
        <v>NA</v>
      </c>
      <c r="G10" s="7">
        <f>IF(Inputs!G26="","NA",(Inputs!G27+Inputs!G28))</f>
        <v>12087.01</v>
      </c>
      <c r="H10" s="6" t="inlineStr">
        <is>
          <t>debt securities + borrowings; leases excluded</t>
        </is>
      </c>
    </row>
    <row r="11">
      <c r="B11" s="4" t="inlineStr">
        <is>
          <t>Tangible net worth (Rs cr)</t>
        </is>
      </c>
      <c r="C11" s="7">
        <f>IF(Inputs!C26="","NA",(Inputs!C30-Inputs!C24-Inputs!C25))</f>
        <v>2508.65</v>
      </c>
      <c r="D11" s="7">
        <f>IF(Inputs!D26="","NA",(Inputs!D30-Inputs!D24-Inputs!D25))</f>
        <v>2878.4199999999996</v>
      </c>
      <c r="E11" s="7">
        <f>IF(Inputs!E26="","NA",(Inputs!E30-Inputs!E24-Inputs!E25))</f>
        <v>3294.52</v>
      </c>
      <c r="F11" s="7" t="str">
        <f>IF(Inputs!F26="","NA",(Inputs!F30-Inputs!F24-Inputs!F25))</f>
        <v>NA</v>
      </c>
      <c r="G11" s="7">
        <f>IF(Inputs!G26="","NA",(Inputs!G30-Inputs!G24-Inputs!G25))</f>
        <v>3995.75</v>
      </c>
      <c r="H11" s="6" t="inlineStr">
        <is>
          <t>equity less intangibles and intangibles under development</t>
        </is>
      </c>
    </row>
    <row r="12">
      <c r="B12" s="4" t="inlineStr">
        <is>
          <t>Net interest margin % (on average total assets)</t>
        </is>
      </c>
      <c r="C12" s="8">
        <f>IF(Inputs!C26="","NA",100*(Inputs!C8-Inputs!C11)*(IF(0=4,4,1))/((Inputs!C26+Inputs!C32)/2))</f>
        <v>4.752451182301407</v>
      </c>
      <c r="D12" s="8">
        <f>IF(Inputs!D26="","NA",100*(Inputs!D8-Inputs!D11)*(IF(1=4,4,1))/((Inputs!D26+Inputs!D32)/2))</f>
        <v>5.176790108019126</v>
      </c>
      <c r="E12" s="8">
        <f>IF(Inputs!E26="","NA",100*(Inputs!E8-Inputs!E11)*(IF(2=4,4,1))/((Inputs!E26+Inputs!E32)/2))</f>
        <v>5.081713285539936</v>
      </c>
      <c r="F12" s="8" t="str">
        <f>IF(Inputs!F26="","NA",100*(Inputs!F8-Inputs!F11)*(IF(3=4,4,1))/((Inputs!F26+Inputs!F32)/2))</f>
        <v>NA</v>
      </c>
      <c r="G12" s="8">
        <f>IF(Inputs!G26="","NA",100*(Inputs!G8-Inputs!G11)*(IF(4=4,4,1))/((Inputs!G26+Inputs!G32)/2))</f>
        <v>5.507854342563674</v>
      </c>
      <c r="H12" s="6" t="inlineStr">
        <is>
          <t>annualised NII over average total assets</t>
        </is>
      </c>
    </row>
    <row r="13">
      <c r="B13" s="4" t="inlineStr">
        <is>
          <t>Operating expenses / average total assets %</t>
        </is>
      </c>
      <c r="C13" s="8">
        <f>IF(Inputs!C26="","NA",100*(Inputs!C12+Inputs!C13+Inputs!C14)*(IF(0=4,4,1))/((Inputs!C26+Inputs!C32)/2))</f>
        <v>1.1890303831601063</v>
      </c>
      <c r="D13" s="8">
        <f>IF(Inputs!D26="","NA",100*(Inputs!D12+Inputs!D13+Inputs!D14)*(IF(1=4,4,1))/((Inputs!D26+Inputs!D32)/2))</f>
        <v>1.3039762048360422</v>
      </c>
      <c r="E13" s="8">
        <f>IF(Inputs!E26="","NA",100*(Inputs!E12+Inputs!E13+Inputs!E14)*(IF(2=4,4,1))/((Inputs!E26+Inputs!E32)/2))</f>
        <v>1.4749190638428646</v>
      </c>
      <c r="F13" s="8" t="str">
        <f>IF(Inputs!F26="","NA",100*(Inputs!F12+Inputs!F13+Inputs!F14)*(IF(3=4,4,1))/((Inputs!F26+Inputs!F32)/2))</f>
        <v>NA</v>
      </c>
      <c r="G13" s="8">
        <f>IF(Inputs!G26="","NA",100*(Inputs!G12+Inputs!G13+Inputs!G14)*(IF(4=4,4,1))/((Inputs!G26+Inputs!G32)/2))</f>
        <v>1.5061911186771326</v>
      </c>
      <c r="H13" s="6" t="inlineStr">
        <is>
          <t>ICRA's NBFC efficiency measure, not cost-to-income</t>
        </is>
      </c>
    </row>
    <row r="14">
      <c r="B14" s="4" t="inlineStr">
        <is>
          <t>Cost-to-income %</t>
        </is>
      </c>
      <c r="C14" s="8">
        <f>100*(Inputs!C12+Inputs!C13+Inputs!C14)/(Inputs!C10-Inputs!C11)</f>
        <v>24.374258054807804</v>
      </c>
      <c r="D14" s="8">
        <f>100*(Inputs!D12+Inputs!D13+Inputs!D14)/(Inputs!D10-Inputs!D11)</f>
        <v>24.599053550623537</v>
      </c>
      <c r="E14" s="8">
        <f>100*(Inputs!E12+Inputs!E13+Inputs!E14)/(Inputs!E10-Inputs!E11)</f>
        <v>27.51716774967378</v>
      </c>
      <c r="F14" s="8">
        <f>100*(Inputs!F12+Inputs!F13+Inputs!F14)/(Inputs!F10-Inputs!F11)</f>
        <v>31.780801711103727</v>
      </c>
      <c r="G14" s="8">
        <f>100*(Inputs!G12+Inputs!G13+Inputs!G14)/(Inputs!G10-Inputs!G11)</f>
        <v>27.320991643968423</v>
      </c>
      <c r="H14" s="6" t="inlineStr">
        <is>
          <t>secondary cross-reference only; bank vocabulary</t>
        </is>
      </c>
    </row>
    <row r="15">
      <c r="B15" s="4" t="inlineStr">
        <is>
          <t>Credit cost % (on average managed assets)</t>
        </is>
      </c>
      <c r="C15" s="8">
        <f>IF(Inputs!C26="","NA",100*Inputs!C15*(IF(0=4,4,1))/(((Inputs!C26+Inputs!C31)+(Inputs!C32+Inputs!C34))/2))</f>
        <v>0.40413162853286894</v>
      </c>
      <c r="D15" s="8">
        <f>IF(Inputs!D26="","NA",100*Inputs!D15*(IF(1=4,4,1))/(((Inputs!D26+Inputs!D31)+(Inputs!D32+Inputs!D34))/2))</f>
        <v>-0.003740725201925813</v>
      </c>
      <c r="E15" s="8">
        <f>IF(Inputs!E26="","NA",100*Inputs!E15*(IF(2=4,4,1))/(((Inputs!E26+Inputs!E31)+(Inputs!E32+Inputs!E34))/2))</f>
        <v>-0.25679582783674976</v>
      </c>
      <c r="F15" s="8" t="str">
        <f>IF(Inputs!F26="","NA",100*Inputs!F15*(IF(3=4,4,1))/(((Inputs!F26+Inputs!F31)+(Inputs!F32+Inputs!F34))/2))</f>
        <v>NA</v>
      </c>
      <c r="G15" s="8">
        <f>IF(Inputs!G26="","NA",100*Inputs!G15*(IF(4=4,4,1))/(((Inputs!G26+Inputs!G31)+(Inputs!G32+Inputs!G34))/2))</f>
        <v>0.24662034369688093</v>
      </c>
      <c r="H15" s="6" t="inlineStr">
        <is>
          <t>negative = write-back releasing provisions into profit</t>
        </is>
      </c>
    </row>
    <row r="16">
      <c r="B16" s="4" t="inlineStr">
        <is>
          <t>Return on average managed assets %</t>
        </is>
      </c>
      <c r="C16" s="8">
        <f>IF(Inputs!C26="","NA",100*Inputs!C18*(IF(0=4,4,1))/(((Inputs!C26+Inputs!C31)+(Inputs!C32+Inputs!C34))/2))</f>
        <v>2.3211501954609473</v>
      </c>
      <c r="D16" s="8">
        <f>IF(Inputs!D26="","NA",100*Inputs!D18*(IF(1=4,4,1))/(((Inputs!D26+Inputs!D31)+(Inputs!D32+Inputs!D34))/2))</f>
        <v>2.8950279160786634</v>
      </c>
      <c r="E16" s="8">
        <f>IF(Inputs!E26="","NA",100*Inputs!E18*(IF(2=4,4,1))/(((Inputs!E26+Inputs!E31)+(Inputs!E32+Inputs!E34))/2))</f>
        <v>3.003629453941478</v>
      </c>
      <c r="F16" s="8" t="str">
        <f>IF(Inputs!F26="","NA",100*Inputs!F18*(IF(3=4,4,1))/(((Inputs!F26+Inputs!F31)+(Inputs!F32+Inputs!F34))/2))</f>
        <v>NA</v>
      </c>
      <c r="G16" s="8">
        <f>IF(Inputs!G26="","NA",100*Inputs!G18*(IF(4=4,4,1))/(((Inputs!G26+Inputs!G31)+(Inputs!G32+Inputs!G34))/2))</f>
        <v>2.905233460577808</v>
      </c>
      <c r="H16" s="6" t="inlineStr">
        <is>
          <t>ICRA's headline HFC return measure</t>
        </is>
      </c>
    </row>
    <row r="17">
      <c r="B17" s="4" t="inlineStr">
        <is>
          <t>Return on average total assets %</t>
        </is>
      </c>
      <c r="C17" s="8">
        <f>IF(Inputs!C26="","NA",100*Inputs!C18*(IF(0=4,4,1))/((Inputs!C26+Inputs!C32)/2))</f>
        <v>2.414927396392127</v>
      </c>
      <c r="D17" s="8">
        <f>IF(Inputs!D26="","NA",100*Inputs!D18*(IF(1=4,4,1))/((Inputs!D26+Inputs!D32)/2))</f>
        <v>3.009469115008688</v>
      </c>
      <c r="E17" s="8">
        <f>IF(Inputs!E26="","NA",100*Inputs!E18*(IF(2=4,4,1))/((Inputs!E26+Inputs!E32)/2))</f>
        <v>3.1045573282325454</v>
      </c>
      <c r="F17" s="8" t="str">
        <f>IF(Inputs!F26="","NA",100*Inputs!F18*(IF(3=4,4,1))/((Inputs!F26+Inputs!F32)/2))</f>
        <v>NA</v>
      </c>
      <c r="G17" s="8">
        <f>IF(Inputs!G26="","NA",100*Inputs!G18*(IF(4=4,4,1))/((Inputs!G26+Inputs!G32)/2))</f>
        <v>2.905233460577808</v>
      </c>
      <c r="H17" s="6" t="inlineStr">
        <is>
          <t>reproduces the AR's 3.1% and CareEdge's 3.11% for FY2025</t>
        </is>
      </c>
    </row>
    <row r="18">
      <c r="B18" s="4" t="inlineStr">
        <is>
          <t>Return on average net worth %</t>
        </is>
      </c>
      <c r="C18" s="8">
        <f>IF(Inputs!C26="","NA",100*Inputs!C18*(IF(0=4,4,1))/((Inputs!C30+Inputs!C33)/2))</f>
        <v>12.46188262479034</v>
      </c>
      <c r="D18" s="8">
        <f>IF(Inputs!D26="","NA",100*Inputs!D18*(IF(1=4,4,1))/((Inputs!D30+Inputs!D33)/2))</f>
        <v>14.591173578404916</v>
      </c>
      <c r="E18" s="8">
        <f>IF(Inputs!E26="","NA",100*Inputs!E18*(IF(2=4,4,1))/((Inputs!E30+Inputs!E33)/2))</f>
        <v>14.158356826419654</v>
      </c>
      <c r="F18" s="8" t="str">
        <f>IF(Inputs!F26="","NA",100*Inputs!F18*(IF(3=4,4,1))/((Inputs!F30+Inputs!F33)/2))</f>
        <v>NA</v>
      </c>
      <c r="G18" s="8">
        <f>IF(Inputs!G26="","NA",100*Inputs!G18*(IF(4=4,4,1))/((Inputs!G30+Inputs!G33)/2))</f>
        <v>12.166380448525365</v>
      </c>
      <c r="H18" s="6" t="inlineStr">
        <is>
          <t>average denominator; the AR uses opening equity</t>
        </is>
      </c>
    </row>
    <row r="19">
      <c r="B19" s="4" t="inlineStr">
        <is>
          <t>Gearing (times)</t>
        </is>
      </c>
      <c r="C19" s="8">
        <f>IF(Inputs!C26="","NA",(Inputs!C27+Inputs!C28)/Inputs!C30)</f>
        <v>3.944121422638375</v>
      </c>
      <c r="D19" s="8">
        <f>IF(Inputs!D26="","NA",(Inputs!D27+Inputs!D28)/Inputs!D30)</f>
        <v>3.697728018797837</v>
      </c>
      <c r="E19" s="8">
        <f>IF(Inputs!E26="","NA",(Inputs!E27+Inputs!E28)/Inputs!E30)</f>
        <v>3.3616785622670546</v>
      </c>
      <c r="F19" s="8" t="str">
        <f>IF(Inputs!F26="","NA",(Inputs!F27+Inputs!F28)/Inputs!F30)</f>
        <v>NA</v>
      </c>
      <c r="G19" s="8">
        <f>IF(Inputs!G26="","NA",(Inputs!G27+Inputs!G28)/Inputs!G30)</f>
        <v>3.0077289637067173</v>
      </c>
      <c r="H19" s="6" t="inlineStr">
        <is>
          <t>total debt over net worth</t>
        </is>
      </c>
    </row>
    <row r="20">
      <c r="B20" s="4" t="inlineStr">
        <is>
          <t>Gearing on tangible net worth (times)</t>
        </is>
      </c>
      <c r="C20" s="8">
        <f>IF(Inputs!C26="","NA",(Inputs!C27+Inputs!C28)/(Inputs!C30-Inputs!C24-Inputs!C25))</f>
        <v>3.9559444322643653</v>
      </c>
      <c r="D20" s="8">
        <f>IF(Inputs!D26="","NA",(Inputs!D27+Inputs!D28)/(Inputs!D30-Inputs!D24-Inputs!D25))</f>
        <v>3.7176784485933263</v>
      </c>
      <c r="E20" s="8">
        <f>IF(Inputs!E26="","NA",(Inputs!E27+Inputs!E28)/(Inputs!E30-Inputs!E24-Inputs!E25))</f>
        <v>3.3810964875004554</v>
      </c>
      <c r="F20" s="8" t="str">
        <f>IF(Inputs!F26="","NA",(Inputs!F27+Inputs!F28)/(Inputs!F30-Inputs!F24-Inputs!F25))</f>
        <v>NA</v>
      </c>
      <c r="G20" s="8">
        <f>IF(Inputs!G26="","NA",(Inputs!G27+Inputs!G28)/(Inputs!G30-Inputs!G24-Inputs!G25))</f>
        <v>3.0249665269348682</v>
      </c>
      <c r="H20" s="6" t="inlineStr">
        <is>
          <t>same numerator, intangibles stripped from the denominator</t>
        </is>
      </c>
    </row>
    <row r="21">
      <c r="B21" s="4" t="inlineStr">
        <is>
          <t>Managed assets / tangible net worth (times)</t>
        </is>
      </c>
      <c r="C21" s="8">
        <f>IF(Inputs!C26="","NA",(Inputs!C26+Inputs!C31)/(Inputs!C30-Inputs!C24-Inputs!C25))</f>
        <v>5.198999461861958</v>
      </c>
      <c r="D21" s="8">
        <f>IF(Inputs!D26="","NA",(Inputs!D26+Inputs!D31)/(Inputs!D30-Inputs!D24-Inputs!D25))</f>
        <v>4.9419368959359655</v>
      </c>
      <c r="E21" s="8">
        <f>IF(Inputs!E26="","NA",(Inputs!E26+Inputs!E31)/(Inputs!E30-Inputs!E24-Inputs!E25))</f>
        <v>4.563830239306484</v>
      </c>
      <c r="F21" s="8" t="str">
        <f>IF(Inputs!F26="","NA",(Inputs!F26+Inputs!F31)/(Inputs!F30-Inputs!F24-Inputs!F25))</f>
        <v>NA</v>
      </c>
      <c r="G21" s="8">
        <f>IF(Inputs!G26="","NA",(Inputs!G26+Inputs!G31)/(Inputs!G30-Inputs!G24-Inputs!G25))</f>
        <v>4.065777388475255</v>
      </c>
      <c r="H21" s="6" t="inlineStr">
        <is>
          <t>balance-sheet leverage including the provision cushion</t>
        </is>
      </c>
    </row>
    <row r="22">
      <c r="B22" s="4" t="inlineStr">
        <is>
          <t>Equity / total assets %</t>
        </is>
      </c>
      <c r="C22" s="8">
        <f>IF(Inputs!C26="","NA",100*Inputs!C30/Inputs!C26)</f>
        <v>20.09170011730013</v>
      </c>
      <c r="D22" s="8">
        <f>IF(Inputs!D26="","NA",100*Inputs!D30/Inputs!D26)</f>
        <v>21.112765564732463</v>
      </c>
      <c r="E22" s="8">
        <f>IF(Inputs!E26="","NA",100*Inputs!E30/Inputs!E26)</f>
        <v>22.692066422685834</v>
      </c>
      <c r="F22" s="8" t="str">
        <f>IF(Inputs!F26="","NA",100*Inputs!F30/Inputs!F26)</f>
        <v>NA</v>
      </c>
      <c r="G22" s="8">
        <f>IF(Inputs!G26="","NA",100*Inputs!G30/Inputs!G26)</f>
        <v>24.73650161302931</v>
      </c>
      <c r="H22" s="6" t="inlineStr">
        <is>
          <t>book capitalisation</t>
        </is>
      </c>
    </row>
    <row r="23">
      <c r="B23" s="4" t="inlineStr">
        <is>
          <t>Book value per share (Rs)</t>
        </is>
      </c>
      <c r="C23" s="7">
        <f>IF(Inputs!C26="","NA",Inputs!C30/6.2561362)</f>
        <v>402.1923307871718</v>
      </c>
      <c r="D23" s="7">
        <f>IF(Inputs!D26="","NA",Inputs!D30/6.2561362)</f>
        <v>462.5778447726249</v>
      </c>
      <c r="E23" s="7">
        <f>IF(Inputs!E26="","NA",Inputs!E30/6.2561362)</f>
        <v>529.6479958348733</v>
      </c>
      <c r="F23" s="7" t="str">
        <f>IF(Inputs!F26="","NA",Inputs!F30/6.2561362)</f>
        <v>NA</v>
      </c>
      <c r="G23" s="7">
        <f>IF(Inputs!G26="","NA",Inputs!G30/6.2561362)</f>
        <v>642.3533426270355</v>
      </c>
      <c r="H23" s="6" t="inlineStr">
        <is>
          <t>62,561,362 shares, unchanged throughout</t>
        </is>
      </c>
    </row>
    <row r="24">
      <c r="B24" s="4" t="inlineStr">
        <is>
          <t>Basic EPS (Rs)</t>
        </is>
      </c>
      <c r="C24" s="7">
        <f>Inputs!C18*(IF(0=4,4,1))/6.2561362</f>
        <v>47.32633538253211</v>
      </c>
      <c r="D24" s="7">
        <f>Inputs!D18*(IF(1=4,4,1))/6.2561362</f>
        <v>63.09005868510343</v>
      </c>
      <c r="E24" s="7">
        <f>Inputs!E18*(IF(2=4,4,1))/6.2561362</f>
        <v>70.24143751857576</v>
      </c>
      <c r="F24" s="7">
        <f>Inputs!F18*(IF(3=4,4,1))/6.2561362</f>
        <v>72.37214560642077</v>
      </c>
      <c r="G24" s="7">
        <f>Inputs!G18*(IF(4=4,4,1))/6.2561362</f>
        <v>72.98434455439126</v>
      </c>
      <c r="H24" s="6" t="inlineStr">
        <is>
          <t>annualised for the quarter</t>
        </is>
      </c>
    </row>
    <row r="25">
      <c r="B25" s="4" t="inlineStr">
        <is>
          <t>Liquid assets - cash and bank (Rs cr)</t>
        </is>
      </c>
      <c r="C25" s="7">
        <f>IF(Inputs!C26="","NA",Inputs!C20+Inputs!C21)</f>
        <v>454.43</v>
      </c>
      <c r="D25" s="7">
        <f>IF(Inputs!D26="","NA",Inputs!D20+Inputs!D21)</f>
        <v>408.4</v>
      </c>
      <c r="E25" s="7">
        <f>IF(Inputs!E26="","NA",Inputs!E20+Inputs!E21)</f>
        <v>136.29</v>
      </c>
      <c r="F25" s="7" t="str">
        <f>IF(Inputs!F26="","NA",Inputs!F20+Inputs!F21)</f>
        <v>NA</v>
      </c>
      <c r="G25" s="7">
        <f>IF(Inputs!G26="","NA",Inputs!G20+Inputs!G21)</f>
        <v>142.12</v>
      </c>
      <c r="H25" s="6" t="inlineStr">
        <is>
          <t>on-balance-sheet cash only; excludes undrawn lines, which are not disclosed</t>
        </is>
      </c>
    </row>
    <row r="26">
      <c r="B26" s="4" t="inlineStr">
        <is>
          <t>Non-housing (home equity) share of book %</t>
        </is>
      </c>
      <c r="C26" s="8">
        <f>IF(Inputs!C46="","NA",100*Inputs!C46/Inputs!C36)</f>
        <v>20.684392320668326</v>
      </c>
      <c r="D26" s="8">
        <f>IF(Inputs!D46="","NA",100*Inputs!D46/Inputs!D36)</f>
        <v>25.264560053282025</v>
      </c>
      <c r="E26" s="8">
        <f>IF(Inputs!E46="","NA",100*Inputs!E46/Inputs!E36)</f>
        <v>26.97350262213635</v>
      </c>
      <c r="F26" s="8" t="str">
        <f>IF(Inputs!F46="","NA",100*Inputs!F46/Inputs!F36)</f>
        <v>NA</v>
      </c>
      <c r="G26" s="8" t="str">
        <f>IF(Inputs!G46="","NA",100*Inputs!G46/Inputs!G36)</f>
        <v>NA</v>
      </c>
      <c r="H26" s="6" t="inlineStr">
        <is>
          <t>the mix shift that carries the higher delinquency</t>
        </is>
      </c>
    </row>
  </sheetData>
  <mergeCells count="1">
    <mergeCell ref="B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9"/>
  <sheetViews>
    <sheetView workbookViewId="0">
      <selection activeCell="A1" sqref="A1"/>
    </sheetView>
  </sheetViews>
  <sheetFormatPr baseColWidth="8" defaultRowHeight="15"/>
  <cols>
    <col width="44" customWidth="1" min="2" max="2"/>
    <col width="16" customWidth="1" min="3" max="3"/>
    <col width="18" customWidth="1" min="4" max="4"/>
    <col width="12" customWidth="1" min="5" max="5"/>
    <col width="60" customWidth="1" min="6" max="6"/>
  </cols>
  <sheetData>
    <row r="2">
      <c r="B2" s="1" t="inlineStr">
        <is>
          <t>Repco Home Finance Limited - tie-out to company-disclosed figures</t>
        </is>
      </c>
    </row>
    <row r="3" ht="42" customHeight="1">
      <c r="B3" s="2" t="inlineStr">
        <is>
          <t>Binding gate (CLAUDE.md Step 6): headline computed figures must reconcile to the company's OWN disclosed numbers before the workpaper is issued. PASS/FAIL is itself a formula - it re-evaluates if any input changes.</t>
        </is>
      </c>
    </row>
    <row r="5">
      <c r="B5" s="3" t="inlineStr">
        <is>
          <t>Check</t>
        </is>
      </c>
      <c r="C5" s="3" t="inlineStr">
        <is>
          <t>Computed</t>
        </is>
      </c>
      <c r="D5" s="3" t="inlineStr">
        <is>
          <t>Company-disclosed</t>
        </is>
      </c>
      <c r="E5" s="3" t="inlineStr">
        <is>
          <t>Result</t>
        </is>
      </c>
      <c r="F5" s="3" t="inlineStr">
        <is>
          <t>Note</t>
        </is>
      </c>
    </row>
    <row r="6">
      <c r="B6" s="4" t="inlineStr">
        <is>
          <t>Balance sheet ties, FY2025</t>
        </is>
      </c>
      <c r="C6" s="9">
        <f>Inputs!E26-Inputs!E29-Inputs!E30</f>
        <v>-9.094947017729282e-13</v>
      </c>
      <c r="D6" s="9" t="n">
        <v>0</v>
      </c>
      <c r="E6" s="10" t="str">
        <f>IF(ABS(C6-D6)&lt;=MAX(1,ABS(D6)*0.005),"PASS","CHECK")</f>
        <v>PASS</v>
      </c>
      <c r="F6" s="6" t="inlineStr">
        <is>
          <t>assets less (liabilities + equity); FY2025 AR</t>
        </is>
      </c>
    </row>
    <row r="7">
      <c r="B7" s="4" t="inlineStr">
        <is>
          <t>Balance sheet ties, 30-Jun-2026</t>
        </is>
      </c>
      <c r="C7" s="9">
        <f>Inputs!G26-Inputs!G29-Inputs!G30</f>
        <v>-4.547473508864641e-13</v>
      </c>
      <c r="D7" s="9" t="n">
        <v>0</v>
      </c>
      <c r="E7" s="10" t="str">
        <f>IF(ABS(C7-D7)&lt;=MAX(1,ABS(D7)*0.005),"PASS","CHECK")</f>
        <v>PASS</v>
      </c>
      <c r="F7" s="6" t="inlineStr">
        <is>
          <t>Reg 54(3) security-cover certificate, 30-Jun-2026</t>
        </is>
      </c>
    </row>
    <row r="8">
      <c r="B8" s="4" t="inlineStr">
        <is>
          <t>Total debt / total assets, 30-Jun-2026</t>
        </is>
      </c>
      <c r="C8" s="9">
        <f>(Inputs!G27+Inputs!G28)/Inputs!G26</f>
        <v>0.744006923622862</v>
      </c>
      <c r="D8" s="9" t="n">
        <v>0.74</v>
      </c>
      <c r="E8" s="10" t="str">
        <f>IF(ABS(C8-D8)&lt;=MAX(1,ABS(D8)*0.005),"PASS","CHECK")</f>
        <v>PASS</v>
      </c>
      <c r="F8" s="6" t="inlineStr">
        <is>
          <t>company's own Reg 52(4) disclosure - proves the assembled debt figure</t>
        </is>
      </c>
    </row>
    <row r="9">
      <c r="B9" s="4" t="inlineStr">
        <is>
          <t>Net worth, 30-Jun-2026</t>
        </is>
      </c>
      <c r="C9" s="9">
        <f>Inputs!G30</f>
        <v>4018.65</v>
      </c>
      <c r="D9" s="9" t="n">
        <v>4018.65</v>
      </c>
      <c r="E9" s="10" t="str">
        <f>IF(ABS(C9-D9)&lt;=MAX(1,ABS(D9)*0.005),"PASS","CHECK")</f>
        <v>PASS</v>
      </c>
      <c r="F9" s="6" t="inlineStr">
        <is>
          <t>company's own Reg 52(4) disclosure</t>
        </is>
      </c>
    </row>
    <row r="10">
      <c r="B10" s="4" t="inlineStr">
        <is>
          <t>Net profit margin, Q1FY2027</t>
        </is>
      </c>
      <c r="C10" s="9">
        <f>100*Inputs!G18/Inputs!G10</f>
        <v>24.396238512502674</v>
      </c>
      <c r="D10" s="9" t="n">
        <v>24.4</v>
      </c>
      <c r="E10" s="10" t="str">
        <f>IF(ABS(C10-D10)&lt;=MAX(1,ABS(D10)*0.005),"PASS","CHECK")</f>
        <v>PASS</v>
      </c>
      <c r="F10" s="6" t="inlineStr">
        <is>
          <t>company's own Reg 52(4) disclosure</t>
        </is>
      </c>
    </row>
    <row r="11">
      <c r="B11" s="4" t="inlineStr">
        <is>
          <t>Net interest income, FY2025</t>
        </is>
      </c>
      <c r="C11" s="9">
        <f>Inputs!E8-Inputs!E11</f>
        <v>719.3000000000001</v>
      </c>
      <c r="D11" s="9" t="n">
        <v>719</v>
      </c>
      <c r="E11" s="10" t="str">
        <f>IF(ABS(C11-D11)&lt;=MAX(1,ABS(D11)*0.005),"PASS","CHECK")</f>
        <v>PASS</v>
      </c>
      <c r="F11" s="6" t="inlineStr">
        <is>
          <t>FY2025 AR six-year highlights - proves the NII convention</t>
        </is>
      </c>
    </row>
    <row r="12">
      <c r="B12" s="4" t="inlineStr">
        <is>
          <t>Net interest income, FY2024</t>
        </is>
      </c>
      <c r="C12" s="9">
        <f>Inputs!D8-Inputs!D11</f>
        <v>678.9499999999999</v>
      </c>
      <c r="D12" s="9" t="n">
        <v>679</v>
      </c>
      <c r="E12" s="10" t="str">
        <f>IF(ABS(C12-D12)&lt;=MAX(1,ABS(D12)*0.005),"PASS","CHECK")</f>
        <v>PASS</v>
      </c>
      <c r="F12" s="6" t="inlineStr">
        <is>
          <t>FY2025 AR six-year highlights</t>
        </is>
      </c>
    </row>
    <row r="13">
      <c r="B13" s="4" t="inlineStr">
        <is>
          <t>Basic EPS, FY2025</t>
        </is>
      </c>
      <c r="C13" s="9">
        <f>Inputs!E18/6.2561362</f>
        <v>70.24143751857576</v>
      </c>
      <c r="D13" s="9" t="n">
        <v>70.23999999999999</v>
      </c>
      <c r="E13" s="10" t="str">
        <f>IF(ABS(C13-D13)&lt;=MAX(1,ABS(D13)*0.005),"PASS","CHECK")</f>
        <v>PASS</v>
      </c>
      <c r="F13" s="6" t="inlineStr">
        <is>
          <t>FY2025 AR statement of profit and loss</t>
        </is>
      </c>
    </row>
    <row r="14">
      <c r="B14" s="4" t="inlineStr">
        <is>
          <t>Gross loan exposure, FY2025</t>
        </is>
      </c>
      <c r="C14" s="9">
        <f>Inputs!E22+Inputs!E31</f>
        <v>14542.57</v>
      </c>
      <c r="D14" s="9" t="n">
        <v>14542.57</v>
      </c>
      <c r="E14" s="10" t="str">
        <f>IF(ABS(C14-D14)&lt;=MAX(1,ABS(D14)*0.005),"PASS","CHECK")</f>
        <v>PASS</v>
      </c>
      <c r="F14" s="6" t="inlineStr">
        <is>
          <t>FY2025 AR sector-wise NPA table - proves the impairment allowance</t>
        </is>
      </c>
    </row>
    <row r="15">
      <c r="B15" s="4" t="inlineStr">
        <is>
          <t>Return on average total assets, FY2025</t>
        </is>
      </c>
      <c r="C15" s="9">
        <f>100*Inputs!E18/((Inputs!E26+Inputs!E32)/2)</f>
        <v>3.1045573282325454</v>
      </c>
      <c r="D15" s="9" t="n">
        <v>3.11</v>
      </c>
      <c r="E15" s="10" t="str">
        <f>IF(ABS(C15-D15)&lt;=MAX(1,ABS(D15)*0.005),"PASS","CHECK")</f>
        <v>PASS</v>
      </c>
      <c r="F15" s="6" t="inlineStr">
        <is>
          <t>CareEdge press release 30-Sep-2025 (3.11%) and the FY2025 AR chart (3.1%)</t>
        </is>
      </c>
    </row>
    <row r="16">
      <c r="B16" s="4" t="inlineStr">
        <is>
          <t>FY2026 PAT = PBT less tax</t>
        </is>
      </c>
      <c r="C16" s="9">
        <f>Inputs!F16-Inputs!F17</f>
        <v>452.77</v>
      </c>
      <c r="D16" s="9" t="n">
        <v>452.77</v>
      </c>
      <c r="E16" s="10" t="str">
        <f>IF(ABS(C16-D16)&lt;=MAX(1,ABS(D16)*0.005),"PASS","CHECK")</f>
        <v>PASS</v>
      </c>
      <c r="F16" s="6" t="inlineStr">
        <is>
          <t>Q1FY2027 filing, audited FY2026 column</t>
        </is>
      </c>
    </row>
    <row r="17">
      <c r="B17" s="4" t="inlineStr">
        <is>
          <t>CRAR FY2025 = Tier I + Tier II</t>
        </is>
      </c>
      <c r="C17" s="9">
        <f>Inputs!E42+0.68</f>
        <v>37.089999999999996</v>
      </c>
      <c r="D17" s="9" t="n">
        <v>37.09</v>
      </c>
      <c r="E17" s="10" t="str">
        <f>IF(ABS(C17-D17)&lt;=MAX(1,ABS(D17)*0.005),"PASS","CHECK")</f>
        <v>PASS</v>
      </c>
      <c r="F17" s="6" t="inlineStr">
        <is>
          <t>FY2025 AR Note 32.1</t>
        </is>
      </c>
    </row>
    <row r="19">
      <c r="B19" s="11" t="inlineStr">
        <is>
          <t>Tolerance: 0.5% of the disclosed figure, floor Rs 1 - tighter than rounding, loose enough for basis differences.</t>
        </is>
      </c>
    </row>
  </sheetData>
  <mergeCells count="1">
    <mergeCell ref="B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5"/>
  <cols>
    <col width="34" customWidth="1" min="2" max="2"/>
    <col width="12" customWidth="1" min="3" max="3"/>
    <col width="10" customWidth="1" min="4" max="4"/>
    <col width="12" customWidth="1" min="5" max="5"/>
    <col width="70" customWidth="1" min="6" max="6"/>
  </cols>
  <sheetData>
    <row r="2">
      <c r="B2" s="1" t="inlineStr">
        <is>
          <t>Repco Home Finance Limited - rating scorecard and view</t>
        </is>
      </c>
    </row>
    <row r="3" ht="42" customHeight="1">
      <c r="B3" s="2" t="inlineStr">
        <is>
          <t>Factor scores 1 (strongest) to 6 (weakest), weighted to a composite. The anchor is a SCREENING cross-check with a +/-2 notch band, NOT the rating - the analyst view and any divergence are stated below and the divergence must be explained, never buried.</t>
        </is>
      </c>
    </row>
    <row r="5">
      <c r="B5" s="3" t="inlineStr">
        <is>
          <t>Rating factor</t>
        </is>
      </c>
      <c r="C5" s="3" t="inlineStr">
        <is>
          <t>Score (1-6)</t>
        </is>
      </c>
      <c r="D5" s="3" t="inlineStr">
        <is>
          <t>Weight</t>
        </is>
      </c>
      <c r="E5" s="3" t="inlineStr">
        <is>
          <t>Weighted</t>
        </is>
      </c>
      <c r="F5" s="3" t="inlineStr">
        <is>
          <t>Justification</t>
        </is>
      </c>
    </row>
    <row r="6">
      <c r="B6" s="4" t="inlineStr">
        <is>
          <t>Franchise and scale</t>
        </is>
      </c>
      <c r="C6" s="12" t="n">
        <v>4</v>
      </c>
      <c r="D6" s="13" t="n">
        <v>0.15</v>
      </c>
      <c r="E6" s="8">
        <f>C6*D6</f>
        <v>0.6</v>
      </c>
      <c r="F6" s="6" t="inlineStr">
        <is>
          <t>A 25-year-old HFC with a defensible niche in tier-2/tier-3 south India, but small: AUM of Rs 14,492 crore (FY2025) against PNB Housing's Rs 98,000 crore and LIC Housing's far larger book. Growth is the weak point - AUM compounded 7.2% a year from Rs 11,759 crore in FY2022, and the network expansion (159 to 189 branches, 192 to 233 touchpoints over FY2023-FY2025) has not yet converted into faster book growth. Disbursements of Rs 3,284 crore in FY2025 grew only 4.8%.</t>
        </is>
      </c>
    </row>
    <row r="7">
      <c r="B7" s="4" t="inlineStr">
        <is>
          <t>Asset quality</t>
        </is>
      </c>
      <c r="C7" s="12" t="n">
        <v>4</v>
      </c>
      <c r="D7" s="13" t="n">
        <v>0.25</v>
      </c>
      <c r="E7" s="8">
        <f>C7*D7</f>
        <v>1.0</v>
      </c>
      <c r="F7" s="6" t="inlineStr">
        <is>
          <t>The direction is unambiguously favourable and sustained across four years - GNPA 7.0% (FY2022) to 5.8% to 4.08% to 3.26% (FY2025) to 2.67% at 30-Jun-2026, all excluding interest accrued - and net NPA 1.46% to 1.32% to 1.23%. But the LEVEL remains weak for the sector: ICRA's own NBFC methodology puts HFCs at strongest below 1.5% and weakest above 5.5% on 90+ dpd, so 2.67% sits mid-band, against 0.9% for PNB Housing and 1.2% for Aptus. Two live qualifiers: the restructured pool of Rs 253.49 crore (30-Sep-2025) is still slipping - Rs 10.15 crore then Rs 15.89 crore into NPA in successive half-years - and provision coverage of 43.48% is thin, defensible only because the book is fully mortgage-secured. Non-housing loans, at 27% of the book and rising, carry the higher delinquency (4.14% vs 3.93%).</t>
        </is>
      </c>
    </row>
    <row r="8">
      <c r="B8" s="4" t="inlineStr">
        <is>
          <t>Capitalisation</t>
        </is>
      </c>
      <c r="C8" s="12" t="n">
        <v>2</v>
      </c>
      <c r="D8" s="13" t="n">
        <v>0.25</v>
      </c>
      <c r="E8" s="8">
        <f>C8*D8</f>
        <v>0.5</v>
      </c>
      <c r="F8" s="6" t="inlineStr">
        <is>
          <t>The clearest strength. CRAR of 37.09% at FY2025 (Tier I 36.41%) against a 15% regulatory minimum is 22 percentage points of headroom; gearing has fallen from 3.94x (FY2023) to 3.01x at 30-Jun-2026 and equity funds 24.74% of the balance sheet. Net worth of Rs 4,018.65 crore supports the current book more than twice over at the HFC leverage ceiling of 12x net owned funds. Capital is not the constraint on this rating in any foreseeable case.</t>
        </is>
      </c>
    </row>
    <row r="9">
      <c r="B9" s="4" t="inlineStr">
        <is>
          <t>Earnings</t>
        </is>
      </c>
      <c r="C9" s="12" t="n">
        <v>3</v>
      </c>
      <c r="D9" s="13" t="n">
        <v>0.2</v>
      </c>
      <c r="E9" s="8">
        <f>C9*D9</f>
        <v>0.6000000000000001</v>
      </c>
      <c r="F9" s="6" t="inlineStr">
        <is>
          <t>Headline returns are strong - RoAMA 3.00% and return on average net worth 14.16% in FY2025 - and comfortably above CareEdge's own 2.00% downgrade trigger. The qualification is what produced them. Impairment was a WRITE-BACK in each of FY2024 (Rs 0.51 crore), FY2025 (Rs 37.57 crore) and FY2026 (Rs 31.07 crore); pre-provision operating profit was Rs 524.21, Rs 549.92 and Rs 554.97 crore across those years - growth of 4.9% then 0.9%. FY2026 profit before tax of Rs 586.04 crore was FLAT on FY2025's Rs 587.49 crore and PAT rose only because a Rs 14.40 crore deferred-tax liability on the Section 36(1)(viii) special reserve was reversed. In Q1FY2027 the impairment line turned back to a charge of Rs 9.69 crore. Core earnings power is adequate and stable, not growing.</t>
        </is>
      </c>
    </row>
    <row r="10">
      <c r="B10" s="4" t="inlineStr">
        <is>
          <t>Resource profile</t>
        </is>
      </c>
      <c r="C10" s="12" t="n">
        <v>5</v>
      </c>
      <c r="D10" s="13" t="n">
        <v>0.15</v>
      </c>
      <c r="E10" s="8">
        <f>C10*D10</f>
        <v>0.75</v>
      </c>
      <c r="F10" s="6" t="inlineStr">
        <is>
          <t>The weakest factor and the one that most constrains the rating. At 31-Mar-2025 funding was 100% bank and NHB term borrowing - commercial paper, ECB, secured NCDs, subordinated Tier-II and public deposits all nil (AR Note 34(iv)). Twelve significant counterparties accounted for 96.69% of total liabilities and the top ten borrowings for 93.34% of total borrowings. The first NCD issuance came only in FY2026 and stood at Rs 199.19 crore at 30-Jun-2026, 1.6% of debt. Cash of Rs 142.12 crore covers 1.2% of debt, and Rs 791.11 crore of sanctioned-but-undisbursed commitments is a further near-term call. The offsets are real - LCR of 202.13%, an uninterrupted repayment record, and a book that is entirely amortising retail mortgage - but a lender with one funding channel is exposed to that channel.</t>
        </is>
      </c>
    </row>
    <row r="11">
      <c r="B11" s="14" t="inlineStr">
        <is>
          <t>Weight check (must be 100%)</t>
        </is>
      </c>
      <c r="D11" s="15">
        <f>SUM(D6:D10)</f>
        <v>1.0</v>
      </c>
      <c r="E11" s="16">
        <f>SUM(E6:E10)</f>
        <v>3.45</v>
      </c>
      <c r="F11" s="14" t="str">
        <f>IF(ABS(D11-1)&lt;0.001,"weights sum to 100%","ERROR: weights must sum to 100%")</f>
        <v>weights sum to 100%</v>
      </c>
    </row>
    <row r="13" ht="16" customHeight="1">
      <c r="B13" s="14" t="inlineStr">
        <is>
          <t>Weighted composite score</t>
        </is>
      </c>
      <c r="C13" s="17">
        <f>E11</f>
        <v>3.45</v>
      </c>
    </row>
    <row r="14" ht="16" customHeight="1">
      <c r="B14" s="14" t="inlineStr">
        <is>
          <t>Indicative anchor grade (screening only, +/-2 band)</t>
        </is>
      </c>
      <c r="C14" s="17" t="inlineStr">
        <is>
          <t>AA- / A+ band</t>
        </is>
      </c>
    </row>
    <row r="15" ht="16" customHeight="1">
      <c r="B15" s="14" t="inlineStr">
        <is>
          <t>ANALYST RATING VIEW</t>
        </is>
      </c>
      <c r="C15" s="18" t="inlineStr">
        <is>
          <t>[ICRA]AA- (Stable) / [ICRA]A1+</t>
        </is>
      </c>
    </row>
    <row r="16" ht="30" customHeight="1">
      <c r="B16" s="14" t="inlineStr">
        <is>
          <t>Divergence from anchor - explanation</t>
        </is>
      </c>
      <c r="C16" s="17" t="inlineStr">
        <is>
          <t>My independent view, formed at Step 13 before any prior rating was opened for the conclusion, is [ICRA]AA- (Stable) on the long-term facilities and [ICRA]A1+ on commercial paper. The company's own FY2025 annual report (Note 32.17 and the corporate governance report) records that ICRA already rates it AA- (Stable) on long-term fund-based term loans and NCDs and A1+ on commercial paper, and CareEdge independently rates it AA-; Stable / A1+ (press release 30-Sep-2025). There is therefore NO divergence to resolve. The rating balances capitalisation that is genuinely exceptional - 37% CRAR, 3.01x gearing - and an asset-quality trajectory that has improved for four consecutive years, against a resource profile that is effectively single-channel and a franchise whose growth has not accelerated. The case for a higher grade fails on the resource profile and scale, not on capital or asset quality; the case for a lower grade fails because every adverse metric is improving and capital cover is extreme. NOTE ON THE [ICRA]AAA(SO) IN THE LIBRARY: ICRA's file dated 25-Feb-2026 titled 'Repco Home Finance Limited' rates SECURITISATION NOTES issued by the PRATHAM 12 2025 trust, backed by a pool of Repco-originated LAP receivables, on which Repco is the ORIGINATOR and servicer. [ICRA]AAA(SO) on Rs 92.80 crore of Series A1 notes and [ICRA]AA-(SO) on Rs 4.99 crore of equity-tranche notes are structured-obligation ratings on that trust's paper. Neither is Repco's issuer rating and neither has been imported here.</t>
        </is>
      </c>
    </row>
  </sheetData>
  <mergeCells count="5">
    <mergeCell ref="C13:F13"/>
    <mergeCell ref="C16:F16"/>
    <mergeCell ref="C15:F15"/>
    <mergeCell ref="B3:E3"/>
    <mergeCell ref="C14:F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2026-08-23T16:37:02Z</dcterms:created>
  <dcterms:modified xmlns:dcterms="http://purl.org/dc/terms/" xmlns:xsi="http://www.w3.org/2001/XMLSchema-instance" xsi:type="dcterms:W3CDTF">2026-08-23T16:37:02Z</dcterms:modified>
</cp:coreProperties>
</file>