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sheetId="1" state="visible" r:id="rId1"/>
    <sheet xmlns:r="http://schemas.openxmlformats.org/officeDocument/2006/relationships" name="Book_Build" sheetId="2" state="visible" r:id="rId2"/>
    <sheet xmlns:r="http://schemas.openxmlformats.org/officeDocument/2006/relationships" name="P_and_L" sheetId="3" state="visible" r:id="rId3"/>
    <sheet xmlns:r="http://schemas.openxmlformats.org/officeDocument/2006/relationships" name="Balance_Sheet" sheetId="4" state="visible" r:id="rId4"/>
    <sheet xmlns:r="http://schemas.openxmlformats.org/officeDocument/2006/relationships" name="Credit_Ratios" sheetId="5" state="visible" r:id="rId5"/>
    <sheet xmlns:r="http://schemas.openxmlformats.org/officeDocument/2006/relationships" name="Debt_Breakup" sheetId="6" state="visible" r:id="rId6"/>
    <sheet xmlns:r="http://schemas.openxmlformats.org/officeDocument/2006/relationships" name="Stress_Case" sheetId="7" state="visible" r:id="rId7"/>
  </sheets>
  <definedNames/>
  <calcPr calcId="999999" fullCalcOnLoad="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b val="1"/>
      <color rgb="00FFFFFF"/>
      <sz val="11"/>
    </font>
    <font>
      <color rgb="00595959"/>
      <sz val="8"/>
    </font>
    <font>
      <b val="1"/>
    </font>
  </fonts>
  <fills count="5">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3" fillId="3" borderId="1" applyAlignment="1" pivotButton="0" quotePrefix="0" xfId="0">
      <alignment horizontal="center"/>
    </xf>
    <xf numFmtId="0" fontId="3" fillId="3" borderId="0" pivotButton="0" quotePrefix="0" xfId="0"/>
    <xf numFmtId="0" fontId="0" fillId="0" borderId="1" pivotButton="0" quotePrefix="0" xfId="0"/>
    <xf numFmtId="164" fontId="0" fillId="4" borderId="1" pivotButton="0" quotePrefix="0" xfId="0"/>
    <xf numFmtId="0" fontId="2" fillId="0" borderId="1" applyAlignment="1" pivotButton="0" quotePrefix="0" xfId="0">
      <alignment vertical="top" wrapText="1"/>
    </xf>
    <xf numFmtId="2" fontId="0" fillId="4" borderId="1" pivotButton="0" quotePrefix="0" xfId="0"/>
    <xf numFmtId="164" fontId="0" fillId="0" borderId="1" pivotButton="0" quotePrefix="0" xfId="0"/>
    <xf numFmtId="0" fontId="3" fillId="0" borderId="1" pivotButton="0" quotePrefix="0" xfId="0"/>
    <xf numFmtId="164" fontId="3" fillId="0" borderId="1" pivotButton="0" quotePrefix="0" xfId="0"/>
    <xf numFmtId="2" fontId="0" fillId="0" borderId="1" pivotButton="0" quotePrefix="0" xfId="0"/>
    <xf numFmtId="2" fontId="3" fillId="0" borderId="1" pivotButton="0" quotePrefix="0" xfId="0"/>
    <xf numFmtId="165" fontId="0" fillId="0" borderId="1" pivotButton="0" quotePrefix="0" xfId="0"/>
    <xf numFmtId="1"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4" customWidth="1" min="2" max="2"/>
    <col width="15" customWidth="1" min="3" max="3"/>
    <col width="15" customWidth="1" min="4" max="4"/>
    <col width="15" customWidth="1" min="5" max="5"/>
    <col width="15" customWidth="1" min="6" max="6"/>
    <col width="15" customWidth="1" min="7" max="7"/>
    <col width="86" customWidth="1" min="8" max="8"/>
  </cols>
  <sheetData>
    <row r="2">
      <c r="B2" s="1" t="inlineStr">
        <is>
          <t>Repco Home Finance Limited - forecast drivers (Rs crore; standalone)</t>
        </is>
      </c>
    </row>
    <row r="3" ht="48" customHeight="1">
      <c r="B3" s="2" t="inlineStr">
        <is>
          <t>Yellow cells are the DRIVERS. Every one is derived from the company's own documents and the arithmetic of the derivation is written beside it, so a reviewer can disagree with a number rather than with an assertion. FY2027E rolls forward from the 30-Jun-2026 balance sheet because no 31-Mar-2026 balance sheet exists in the document set; that carries about one quarter of growth twice - roughly Rs 250 crore, 1.6% of the book - and is stated here rather than smoothed away.</t>
        </is>
      </c>
    </row>
    <row r="5">
      <c r="B5" s="3" t="inlineStr">
        <is>
          <t>Line</t>
        </is>
      </c>
      <c r="C5" s="4" t="inlineStr">
        <is>
          <t>FY2027E</t>
        </is>
      </c>
      <c r="D5" s="4" t="inlineStr">
        <is>
          <t>FY2028E</t>
        </is>
      </c>
      <c r="E5" s="4" t="inlineStr">
        <is>
          <t>FY2029E</t>
        </is>
      </c>
      <c r="F5" s="4" t="inlineStr">
        <is>
          <t>FY2030E</t>
        </is>
      </c>
      <c r="G5" s="4" t="inlineStr">
        <is>
          <t>FY2031E</t>
        </is>
      </c>
      <c r="H5" s="3" t="inlineStr">
        <is>
          <t>Derivation / source</t>
        </is>
      </c>
    </row>
    <row r="6">
      <c r="B6" s="5" t="inlineStr">
        <is>
          <t>GROWTH</t>
        </is>
      </c>
    </row>
    <row r="7">
      <c r="B7" s="6" t="inlineStr">
        <is>
          <t>Disbursements (Rs cr)</t>
        </is>
      </c>
      <c r="C7" s="7" t="n">
        <v>3600</v>
      </c>
      <c r="D7" s="7" t="n">
        <v>3924</v>
      </c>
      <c r="E7" s="7" t="n">
        <v>4277</v>
      </c>
      <c r="F7" s="7" t="n">
        <v>4662</v>
      </c>
      <c r="G7" s="7" t="n">
        <v>5081</v>
      </c>
      <c r="H7" s="8" t="inlineStr">
        <is>
          <t>Actuals 2,919 (FY2023) / 3,135 (FY2024) / 3,284 (FY2025) per the FY2025 AR six-year table: growth of 7.4% then 4.8%. Base case takes 9.6% for FY2027E and 9.0% thereafter - faster than the FY2025 actual because the network grew from 159 to 189 branches and from 192 to 233 touchpoints over FY2023-FY2025 and that added capacity has not yet been worked through.</t>
        </is>
      </c>
    </row>
    <row r="8">
      <c r="B8" s="6" t="inlineStr">
        <is>
          <t>Run-off rate (% of opening AUM)</t>
        </is>
      </c>
      <c r="C8" s="9" t="n">
        <v>17</v>
      </c>
      <c r="D8" s="9" t="n">
        <v>17</v>
      </c>
      <c r="E8" s="9" t="n">
        <v>17</v>
      </c>
      <c r="F8" s="9" t="n">
        <v>17</v>
      </c>
      <c r="G8" s="9" t="n">
        <v>17</v>
      </c>
      <c r="H8" s="8" t="inlineStr">
        <is>
          <t>Derived from the AUM roll-forward: FY2023 opening 11,759 + disbursements 2,919 less closing 12,449 implies run-off of 2,229 = 19.0% of opening; FY2024 implies 2,071 = 15.3%; FY2025 implies 2,305 = 17.1%. Held at the three-year mean, rounded to 17.0%.</t>
        </is>
      </c>
    </row>
    <row r="9">
      <c r="B9" s="5" t="inlineStr">
        <is>
          <t>SPREAD</t>
        </is>
      </c>
    </row>
    <row r="10">
      <c r="B10" s="6" t="inlineStr">
        <is>
          <t>Yield on average AUM (%)</t>
        </is>
      </c>
      <c r="C10" s="9" t="n">
        <v>11.8</v>
      </c>
      <c r="D10" s="9" t="n">
        <v>11.75</v>
      </c>
      <c r="E10" s="9" t="n">
        <v>11.7</v>
      </c>
      <c r="F10" s="9" t="n">
        <v>11.7</v>
      </c>
      <c r="G10" s="9" t="n">
        <v>11.7</v>
      </c>
      <c r="H10" s="8" t="inlineStr">
        <is>
          <t>Interest income over average reported AUM: FY2023 1,257.01/12,104 = 10.38%; FY2024 1,495.98/12,981 = 11.52%; FY2025 1,648.19/14,002.5 = 11.77%. Held at 11.80% then eased 10bps as the salaried mix rises - the FY2025 AR states an intention to keep 'a slight tilt towards salaried professionals'.</t>
        </is>
      </c>
    </row>
    <row r="11">
      <c r="B11" s="6" t="inlineStr">
        <is>
          <t>Cost of funds on average debt (%)</t>
        </is>
      </c>
      <c r="C11" s="9" t="n">
        <v>8.550000000000001</v>
      </c>
      <c r="D11" s="9" t="n">
        <v>8.5</v>
      </c>
      <c r="E11" s="9" t="n">
        <v>8.5</v>
      </c>
      <c r="F11" s="9" t="n">
        <v>8.5</v>
      </c>
      <c r="G11" s="9" t="n">
        <v>8.5</v>
      </c>
      <c r="H11" s="8" t="inlineStr">
        <is>
          <t>Finance costs over average total debt: FY2023 701.07/9,808.04 = 7.15%; FY2024 845.57/10,312.56 = 8.20%; FY2025 965.86/10,920.07 = 8.85%. Eased modestly on the RBI's projected disinflation (FY2025 AR MD&amp;A: CPI 4.0% for 2025-26) and on the first NCD issuance broadening the base, but NOT below the FY2024 level - a lender funded almost entirely by banks has little pricing power over its liabilities.</t>
        </is>
      </c>
    </row>
    <row r="12">
      <c r="B12" s="5" t="inlineStr">
        <is>
          <t>COSTS AND DISTRIBUTION</t>
        </is>
      </c>
    </row>
    <row r="13">
      <c r="B13" s="6" t="inlineStr">
        <is>
          <t>Operating expenses / average total assets (%)</t>
        </is>
      </c>
      <c r="C13" s="9" t="n">
        <v>1.52</v>
      </c>
      <c r="D13" s="9" t="n">
        <v>1.53</v>
      </c>
      <c r="E13" s="9" t="n">
        <v>1.54</v>
      </c>
      <c r="F13" s="9" t="n">
        <v>1.55</v>
      </c>
      <c r="G13" s="9" t="n">
        <v>1.55</v>
      </c>
      <c r="H13" s="8" t="inlineStr">
        <is>
          <t>Actuals 1.19% (FY2023), 1.30% (FY2024), 1.47% (FY2025), 1.51% annualised in Q1FY2027 - a steady rise as branches were added. Continued to drift up: the FY2025 AR records 15 new branches and 9 new satellite centres in a single year, and employee cost rose 17.3% in FY2025 and 23.8% in FY2026 against book growth of 7.2%.</t>
        </is>
      </c>
    </row>
    <row r="14">
      <c r="B14" s="6" t="inlineStr">
        <is>
          <t>Credit cost (% of average AUM)</t>
        </is>
      </c>
      <c r="C14" s="9" t="n">
        <v>0.3</v>
      </c>
      <c r="D14" s="9" t="n">
        <v>0.33</v>
      </c>
      <c r="E14" s="9" t="n">
        <v>0.35</v>
      </c>
      <c r="F14" s="9" t="n">
        <v>0.38</v>
      </c>
      <c r="G14" s="9" t="n">
        <v>0.4</v>
      </c>
      <c r="H14" s="8" t="inlineStr">
        <is>
          <t>The impairment line was a CHARGE of 233.06 (FY2022) and 51.55 (FY2023), then a WRITE-BACK of 0.51 (FY2024), 37.57 (FY2025) and 31.07 (FY2026), and turned back to a charge of 9.69 in Q1FY2027 - 0.25% of average managed assets annualised. A write-back is a one-way release from an existing stock of provisions and cannot be forecast, so the base case normalises to a small charge and lets it drift up as the book seasons and the non-housing share rises.</t>
        </is>
      </c>
    </row>
    <row r="15">
      <c r="B15" s="6" t="inlineStr">
        <is>
          <t>Effective tax rate (%)</t>
        </is>
      </c>
      <c r="C15" s="9" t="n">
        <v>25.2</v>
      </c>
      <c r="D15" s="9" t="n">
        <v>25.2</v>
      </c>
      <c r="E15" s="9" t="n">
        <v>25.2</v>
      </c>
      <c r="F15" s="9" t="n">
        <v>25.2</v>
      </c>
      <c r="G15" s="9" t="n">
        <v>25.2</v>
      </c>
      <c r="H15" s="8" t="inlineStr">
        <is>
          <t>FY2025 148.05/587.49 = 25.20%. FY2026's 22.74% is distorted by the Rs 14.40 crore reversal of the deferred tax liability on the Section 36(1)(viii) special reserve (Note 7 to the Q1FY2027 results; an Emphasis of Matter in the auditor's limited review report) and is not repeatable.</t>
        </is>
      </c>
    </row>
    <row r="16">
      <c r="B16" s="6" t="inlineStr">
        <is>
          <t>Dividend payout (% of PAT)</t>
        </is>
      </c>
      <c r="C16" s="9" t="n">
        <v>8</v>
      </c>
      <c r="D16" s="9" t="n">
        <v>8</v>
      </c>
      <c r="E16" s="9" t="n">
        <v>8</v>
      </c>
      <c r="F16" s="9" t="n">
        <v>8</v>
      </c>
      <c r="G16" s="9" t="n">
        <v>8</v>
      </c>
      <c r="H16" s="8" t="inlineStr">
        <is>
          <t>FY2025 Rs 4.00 per share, Rs 25.02 crore on PAT of Rs 439.44 crore = 5.7%; FY2024 Rs 3.00 per share, Rs 18.77 crore = 4.8% (AR Note 41). Raised modestly to 8%: a company carrying 37% CRAR against a 15% minimum has no capital reason to retain 95% of earnings, and the very low payout is itself part of why return on equity is drifting down.</t>
        </is>
      </c>
    </row>
    <row r="17">
      <c r="B17" s="5" t="inlineStr">
        <is>
          <t>BALANCE SHEET STRUCTURE</t>
        </is>
      </c>
    </row>
    <row r="18">
      <c r="B18" s="6" t="inlineStr">
        <is>
          <t>Cash and liquid investments (% of total assets)</t>
        </is>
      </c>
      <c r="C18" s="9" t="n">
        <v>1.5</v>
      </c>
      <c r="D18" s="9" t="n">
        <v>1.5</v>
      </c>
      <c r="E18" s="9" t="n">
        <v>1.5</v>
      </c>
      <c r="F18" s="9" t="n">
        <v>1.5</v>
      </c>
      <c r="G18" s="9" t="n">
        <v>1.5</v>
      </c>
      <c r="H18" s="8" t="inlineStr">
        <is>
          <t>30-Jun-2026 actual: cash 136.83 + other bank balances 5.29 + investments 138.10 = 280.22 on total assets of 16,245.83 = 1.72%. FY2025: 347.52 on 14,602.24 = 2.38%. The series is falling; held at 1.50%, thin but consistent with the company's own practice and with an LCR of 202.13%.</t>
        </is>
      </c>
    </row>
    <row r="19">
      <c r="B19" s="6" t="inlineStr">
        <is>
          <t>Non-debt liabilities (% of total assets)</t>
        </is>
      </c>
      <c r="C19" s="9" t="n">
        <v>0.9</v>
      </c>
      <c r="D19" s="9" t="n">
        <v>0.9</v>
      </c>
      <c r="E19" s="9" t="n">
        <v>0.9</v>
      </c>
      <c r="F19" s="9" t="n">
        <v>0.9</v>
      </c>
      <c r="G19" s="9" t="n">
        <v>0.9</v>
      </c>
      <c r="H19" s="8" t="inlineStr">
        <is>
          <t>30-Jun-2026 actual: total liabilities 12,227.18 less total debt 12,087.01 = 140.17 on 16,245.83 = 0.86%. Comprises trade payables, lease liabilities, provisions and deferred tax.</t>
        </is>
      </c>
    </row>
    <row r="20">
      <c r="B20" s="6" t="inlineStr">
        <is>
          <t>Non-earning assets (Rs cr)</t>
        </is>
      </c>
      <c r="C20" s="7" t="n">
        <v>270</v>
      </c>
      <c r="D20" s="7" t="n">
        <v>284</v>
      </c>
      <c r="E20" s="7" t="n">
        <v>298</v>
      </c>
      <c r="F20" s="7" t="n">
        <v>313</v>
      </c>
      <c r="G20" s="7" t="n">
        <v>329</v>
      </c>
      <c r="H20" s="8" t="inlineStr">
        <is>
          <t>30-Jun-2026: PP&amp;E 25.44 + right-of-use 47.30 + intangibles 17.69 + intangibles under development 5.21 + others 161.74 = 257.38. Grown 5% a year with the branch network.</t>
        </is>
      </c>
    </row>
    <row r="21">
      <c r="B21" s="6" t="inlineStr">
        <is>
          <t>Risk weight density (RWA / AUM, %)</t>
        </is>
      </c>
      <c r="C21" s="9" t="n">
        <v>62.4</v>
      </c>
      <c r="D21" s="9" t="n">
        <v>62.4</v>
      </c>
      <c r="E21" s="9" t="n">
        <v>62.4</v>
      </c>
      <c r="F21" s="9" t="n">
        <v>62.4</v>
      </c>
      <c r="G21" s="9" t="n">
        <v>62.4</v>
      </c>
      <c r="H21" s="8" t="inlineStr">
        <is>
          <t>FY2025: risk-weighted assets 9,048.38 (AR Note 32.1) on reported AUM of 14,492 = 62.44%. Individual housing loans below Rs 30 lakh at LTV under 80% attract a 35% risk weight and loans against property 75%, so density moves with the housing / non-housing mix. Held flat, which is mildly conservative given the mix shift towards non-housing.</t>
        </is>
      </c>
    </row>
  </sheetData>
  <mergeCells count="6">
    <mergeCell ref="B17:H17"/>
    <mergeCell ref="B9:H9"/>
    <mergeCell ref="B12:H12"/>
    <mergeCell ref="B6:H6"/>
    <mergeCell ref="B2:H2"/>
    <mergeCell ref="B3:H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4" customWidth="1" min="2" max="2"/>
    <col width="15" customWidth="1" min="3" max="3"/>
    <col width="15" customWidth="1" min="4" max="4"/>
    <col width="15" customWidth="1" min="5" max="5"/>
    <col width="15" customWidth="1" min="6" max="6"/>
    <col width="15" customWidth="1" min="7" max="7"/>
    <col width="86" customWidth="1" min="8" max="8"/>
  </cols>
  <sheetData>
    <row r="2">
      <c r="B2" s="1" t="inlineStr">
        <is>
          <t>Loan book roll-forward (Rs crore)</t>
        </is>
      </c>
    </row>
    <row r="3" ht="48" customHeight="1">
      <c r="B3" s="2" t="inlineStr">
        <is>
          <t>Opening AUM plus disbursements less run-off equals closing AUM. FY2027E opens on the 30-Jun-2026 loan carrying value of 15,708.23 from the Reg 54(3) security-cover certificate - the newest balance sheet in the document set (139.05 exclusive charge + 13,299.24 pari passu + 2,269.94 unencumbered).</t>
        </is>
      </c>
    </row>
    <row r="5">
      <c r="B5" s="3" t="inlineStr">
        <is>
          <t>Line</t>
        </is>
      </c>
      <c r="C5" s="4" t="inlineStr">
        <is>
          <t>FY2027E</t>
        </is>
      </c>
      <c r="D5" s="4" t="inlineStr">
        <is>
          <t>FY2028E</t>
        </is>
      </c>
      <c r="E5" s="4" t="inlineStr">
        <is>
          <t>FY2029E</t>
        </is>
      </c>
      <c r="F5" s="4" t="inlineStr">
        <is>
          <t>FY2030E</t>
        </is>
      </c>
      <c r="G5" s="4" t="inlineStr">
        <is>
          <t>FY2031E</t>
        </is>
      </c>
      <c r="H5" s="3" t="inlineStr">
        <is>
          <t>Derivation / source</t>
        </is>
      </c>
    </row>
    <row r="6">
      <c r="B6" s="6" t="inlineStr">
        <is>
          <t>Opening AUM</t>
        </is>
      </c>
      <c r="C6" s="10" t="n">
        <v>15708.23</v>
      </c>
      <c r="D6" s="10">
        <f>C9</f>
        <v>16637.8309</v>
      </c>
      <c r="E6" s="10">
        <f>D9</f>
        <v>17733.399647000002</v>
      </c>
      <c r="F6" s="10">
        <f>E9</f>
        <v>18995.72170701</v>
      </c>
      <c r="G6" s="10">
        <f>F9</f>
        <v>20428.4490168183</v>
      </c>
      <c r="H6" s="8" t="inlineStr">
        <is>
          <t>FY2027E opening is the 30-Jun-2026 actual; each later year opens on the prior year's close.</t>
        </is>
      </c>
    </row>
    <row r="7">
      <c r="B7" s="6" t="inlineStr">
        <is>
          <t>Disbursements</t>
        </is>
      </c>
      <c r="C7" s="10">
        <f>Assumptions!C7</f>
        <v>3600.0</v>
      </c>
      <c r="D7" s="10">
        <f>Assumptions!D7</f>
        <v>3924.0</v>
      </c>
      <c r="E7" s="10">
        <f>Assumptions!E7</f>
        <v>4277.0</v>
      </c>
      <c r="F7" s="10">
        <f>Assumptions!F7</f>
        <v>4662.0</v>
      </c>
      <c r="G7" s="10">
        <f>Assumptions!G7</f>
        <v>5081.0</v>
      </c>
      <c r="H7" s="8" t="inlineStr">
        <is>
          <t>from Assumptions</t>
        </is>
      </c>
    </row>
    <row r="8">
      <c r="B8" s="6" t="inlineStr">
        <is>
          <t>Less: run-off (repayments, prepayments, write-offs)</t>
        </is>
      </c>
      <c r="C8" s="10">
        <f>-C6*Assumptions!C8/100</f>
        <v>-2670.3990999999996</v>
      </c>
      <c r="D8" s="10">
        <f>-D6*Assumptions!D8/100</f>
        <v>-2828.431253</v>
      </c>
      <c r="E8" s="10">
        <f>-E6*Assumptions!E8/100</f>
        <v>-3014.6779399900006</v>
      </c>
      <c r="F8" s="10">
        <f>-F6*Assumptions!F8/100</f>
        <v>-3229.2726901917003</v>
      </c>
      <c r="G8" s="10">
        <f>-G6*Assumptions!G8/100</f>
        <v>-3472.8363328591113</v>
      </c>
      <c r="H8" s="8" t="inlineStr">
        <is>
          <t>opening AUM times the run-off rate</t>
        </is>
      </c>
    </row>
    <row r="9">
      <c r="B9" s="11" t="inlineStr">
        <is>
          <t>Closing AUM</t>
        </is>
      </c>
      <c r="C9" s="12">
        <f>SUM(C6:C8)</f>
        <v>16637.8309</v>
      </c>
      <c r="D9" s="12">
        <f>SUM(D6:D8)</f>
        <v>17733.399647000002</v>
      </c>
      <c r="E9" s="12">
        <f>SUM(E6:E8)</f>
        <v>18995.72170701</v>
      </c>
      <c r="F9" s="12">
        <f>SUM(F6:F8)</f>
        <v>20428.4490168183</v>
      </c>
      <c r="G9" s="12">
        <f>SUM(G6:G8)</f>
        <v>22036.61268395919</v>
      </c>
      <c r="H9" s="8" t="inlineStr">
        <is>
          <t>opening + disbursements - run-off</t>
        </is>
      </c>
    </row>
    <row r="10">
      <c r="B10" s="6" t="inlineStr">
        <is>
          <t>Average AUM</t>
        </is>
      </c>
      <c r="C10" s="10">
        <f>(C6+C9)/2</f>
        <v>16173.03045</v>
      </c>
      <c r="D10" s="10">
        <f>(D6+D9)/2</f>
        <v>17185.6152735</v>
      </c>
      <c r="E10" s="10">
        <f>(E6+E9)/2</f>
        <v>18364.560677005</v>
      </c>
      <c r="F10" s="10">
        <f>(F6+F9)/2</f>
        <v>19712.08536191415</v>
      </c>
      <c r="G10" s="10">
        <f>(G6+G9)/2</f>
        <v>21232.530850388743</v>
      </c>
      <c r="H10" s="8" t="inlineStr"/>
    </row>
    <row r="11">
      <c r="B11" s="6" t="inlineStr">
        <is>
          <t>AUM growth (%)</t>
        </is>
      </c>
      <c r="C11" s="13">
        <f>100*C9/C6-100</f>
        <v>5.917922643098564</v>
      </c>
      <c r="D11" s="13">
        <f>100*D9/D6-100</f>
        <v>6.584805156301954</v>
      </c>
      <c r="E11" s="13">
        <f>100*E9/E6-100</f>
        <v>7.11833086231465</v>
      </c>
      <c r="F11" s="13">
        <f>100*F9/F6-100</f>
        <v>7.542368391718327</v>
      </c>
      <c r="G11" s="13">
        <f>100*G9/G6-100</f>
        <v>7.8721770106821225</v>
      </c>
      <c r="H11" s="8" t="inlineStr">
        <is>
          <t>Actual growth was 5.9% (FY2023), 8.5% (FY2024), 7.2% (FY2025) on the reported loan book.</t>
        </is>
      </c>
    </row>
  </sheetData>
  <mergeCells count="2">
    <mergeCell ref="B3:H3"/>
    <mergeCell ref="B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1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4" customWidth="1" min="2" max="2"/>
    <col width="15" customWidth="1" min="3" max="3"/>
    <col width="15" customWidth="1" min="4" max="4"/>
    <col width="15" customWidth="1" min="5" max="5"/>
    <col width="15" customWidth="1" min="6" max="6"/>
    <col width="15" customWidth="1" min="7" max="7"/>
    <col width="86" customWidth="1" min="8" max="8"/>
  </cols>
  <sheetData>
    <row r="2">
      <c r="B2" s="1" t="inlineStr">
        <is>
          <t>Projected profit and loss (Rs crore)</t>
        </is>
      </c>
    </row>
    <row r="3" ht="48" customHeight="1">
      <c r="B3" s="2" t="inlineStr">
        <is>
          <t>A lender's P&amp;L: interest earned on the book, less interest paid on the funding, less operating costs, less credit cost. Every line is a live formula off Book_Build, Balance_Sheet and Assumptions.</t>
        </is>
      </c>
    </row>
    <row r="5">
      <c r="B5" s="3" t="inlineStr">
        <is>
          <t>Line</t>
        </is>
      </c>
      <c r="C5" s="4" t="inlineStr">
        <is>
          <t>FY2027E</t>
        </is>
      </c>
      <c r="D5" s="4" t="inlineStr">
        <is>
          <t>FY2028E</t>
        </is>
      </c>
      <c r="E5" s="4" t="inlineStr">
        <is>
          <t>FY2029E</t>
        </is>
      </c>
      <c r="F5" s="4" t="inlineStr">
        <is>
          <t>FY2030E</t>
        </is>
      </c>
      <c r="G5" s="4" t="inlineStr">
        <is>
          <t>FY2031E</t>
        </is>
      </c>
      <c r="H5" s="3" t="inlineStr">
        <is>
          <t>Derivation / source</t>
        </is>
      </c>
    </row>
    <row r="6">
      <c r="B6" s="6" t="inlineStr">
        <is>
          <t>Interest income</t>
        </is>
      </c>
      <c r="C6" s="10">
        <f>Book_Build!C10*Assumptions!C10/100</f>
        <v>1908.4175931000002</v>
      </c>
      <c r="D6" s="10">
        <f>Book_Build!D10*Assumptions!D10/100</f>
        <v>2019.30979463625</v>
      </c>
      <c r="E6" s="10">
        <f>Book_Build!E10*Assumptions!E10/100</f>
        <v>2148.653599209585</v>
      </c>
      <c r="F6" s="10">
        <f>Book_Build!F10*Assumptions!F10/100</f>
        <v>2306.3139873439554</v>
      </c>
      <c r="G6" s="10">
        <f>Book_Build!G10*Assumptions!G10/100</f>
        <v>2484.206109495483</v>
      </c>
      <c r="H6" s="8" t="inlineStr">
        <is>
          <t>average AUM times yield</t>
        </is>
      </c>
    </row>
    <row r="7">
      <c r="B7" s="6" t="inlineStr">
        <is>
          <t>Fee, commission and other operating income</t>
        </is>
      </c>
      <c r="C7" s="10">
        <f>Book_Build!C10*0.0026</f>
        <v>42.04987917</v>
      </c>
      <c r="D7" s="10">
        <f>Book_Build!D10*0.0026</f>
        <v>44.682599711099996</v>
      </c>
      <c r="E7" s="10">
        <f>Book_Build!E10*0.0026</f>
        <v>47.747857760212995</v>
      </c>
      <c r="F7" s="10">
        <f>Book_Build!F10*0.0026</f>
        <v>51.25142194097678</v>
      </c>
      <c r="G7" s="10">
        <f>Book_Build!G10*0.0026</f>
        <v>55.20458021101073</v>
      </c>
      <c r="H7" s="8" t="inlineStr">
        <is>
          <t>FY2025 fees 21.49 + other operating revenue 15.48 = 36.97 on average AUM of 14,002.5 = 0.264%. Held at 0.26% of average AUM.</t>
        </is>
      </c>
    </row>
    <row r="8">
      <c r="B8" s="11" t="inlineStr">
        <is>
          <t>Revenue from operations</t>
        </is>
      </c>
      <c r="C8" s="12">
        <f>SUM(C6:C7)</f>
        <v>1950.4674722700001</v>
      </c>
      <c r="D8" s="12">
        <f>SUM(D6:D7)</f>
        <v>2063.99239434735</v>
      </c>
      <c r="E8" s="12">
        <f>SUM(E6:E7)</f>
        <v>2196.401456969798</v>
      </c>
      <c r="F8" s="12">
        <f>SUM(F6:F7)</f>
        <v>2357.5654092849322</v>
      </c>
      <c r="G8" s="12">
        <f>SUM(G6:G7)</f>
        <v>2539.4106897064935</v>
      </c>
      <c r="H8" s="8" t="inlineStr"/>
    </row>
    <row r="9">
      <c r="B9" s="6" t="inlineStr">
        <is>
          <t>Finance costs</t>
        </is>
      </c>
      <c r="C9" s="10">
        <f>-Balance_Sheet!C18*Assumptions!C11/100</f>
        <v>-1033.439355</v>
      </c>
      <c r="D9" s="10">
        <f>-Balance_Sheet!D18*Assumptions!D11/100</f>
        <v>-1068.3854333005947</v>
      </c>
      <c r="E9" s="10">
        <f>-Balance_Sheet!E18*Assumptions!E11/100</f>
        <v>-1124.2201558645525</v>
      </c>
      <c r="F9" s="10">
        <f>-Balance_Sheet!F18*Assumptions!F11/100</f>
        <v>-1191.4732250023717</v>
      </c>
      <c r="G9" s="10">
        <f>-Balance_Sheet!G18*Assumptions!G11/100</f>
        <v>-1269.8775583027011</v>
      </c>
      <c r="H9" s="8" t="inlineStr">
        <is>
          <t>OPENING total debt (not average) times cost of funds - priced on the opening balance to avoid a circular reference through closing debt / retained earnings / PAT / finance costs; see the note on Balance_Sheet!S_AVGD</t>
        </is>
      </c>
    </row>
    <row r="10">
      <c r="B10" s="11" t="inlineStr">
        <is>
          <t>Net interest income</t>
        </is>
      </c>
      <c r="C10" s="12">
        <f>C8+C9</f>
        <v>917.0281172700002</v>
      </c>
      <c r="D10" s="12">
        <f>D8+D9</f>
        <v>995.6069610467553</v>
      </c>
      <c r="E10" s="12">
        <f>E8+E9</f>
        <v>1072.1813011052454</v>
      </c>
      <c r="F10" s="12">
        <f>F8+F9</f>
        <v>1166.0921842825605</v>
      </c>
      <c r="G10" s="12">
        <f>G8+G9</f>
        <v>1269.5331314037924</v>
      </c>
      <c r="H10" s="8" t="inlineStr">
        <is>
          <t>revenue from operations less finance costs - the company's OWN NII convention, which reproduces its published NII in every year it states one (FY2022 600.26 vs 600; FY2023 582.67 vs 583; FY2024 678.95 vs 679; FY2025 719.30 vs 719).</t>
        </is>
      </c>
    </row>
    <row r="11">
      <c r="B11" s="6" t="inlineStr">
        <is>
          <t>Operating expenses</t>
        </is>
      </c>
      <c r="C11" s="10">
        <f>-Balance_Sheet!C11*Assumptions!C13/100</f>
        <v>-253.92466824365482</v>
      </c>
      <c r="D11" s="10">
        <f>-Balance_Sheet!D11*Assumptions!D13/100</f>
        <v>-271.2467144005584</v>
      </c>
      <c r="E11" s="10">
        <f>-Balance_Sheet!E11*Assumptions!E13/100</f>
        <v>-291.6706948486061</v>
      </c>
      <c r="F11" s="10">
        <f>-Balance_Sheet!F11*Assumptions!F13/100</f>
        <v>-314.99753615194857</v>
      </c>
      <c r="G11" s="10">
        <f>-Balance_Sheet!G11*Assumptions!G13/100</f>
        <v>-339.1672367320057</v>
      </c>
      <c r="H11" s="8" t="inlineStr">
        <is>
          <t>average total assets times the opex ratio</t>
        </is>
      </c>
    </row>
    <row r="12">
      <c r="B12" s="11" t="inlineStr">
        <is>
          <t>Pre-provision operating profit</t>
        </is>
      </c>
      <c r="C12" s="12">
        <f>C10+C11</f>
        <v>663.1034490263453</v>
      </c>
      <c r="D12" s="12">
        <f>D10+D11</f>
        <v>724.3602466461969</v>
      </c>
      <c r="E12" s="12">
        <f>E10+E11</f>
        <v>780.5106062566393</v>
      </c>
      <c r="F12" s="12">
        <f>F10+F11</f>
        <v>851.094648130612</v>
      </c>
      <c r="G12" s="12">
        <f>G10+G11</f>
        <v>930.3658946717867</v>
      </c>
      <c r="H12" s="8" t="inlineStr">
        <is>
          <t>Actuals: 452.31 (FY2023), 524.21 (FY2024), 549.92 (FY2025), 554.97 (FY2026) - core earnings power once the provision swing is stripped out. Growth of 4.9% then 0.9% over the last two actual years.</t>
        </is>
      </c>
    </row>
    <row r="13">
      <c r="B13" s="6" t="inlineStr">
        <is>
          <t>Credit cost</t>
        </is>
      </c>
      <c r="C13" s="10">
        <f>-Book_Build!C10*Assumptions!C14/100</f>
        <v>-48.51909135</v>
      </c>
      <c r="D13" s="10">
        <f>-Book_Build!D10*Assumptions!D14/100</f>
        <v>-56.71253040255</v>
      </c>
      <c r="E13" s="10">
        <f>-Book_Build!E10*Assumptions!E14/100</f>
        <v>-64.27596236951749</v>
      </c>
      <c r="F13" s="10">
        <f>-Book_Build!F10*Assumptions!F14/100</f>
        <v>-74.90592437527377</v>
      </c>
      <c r="G13" s="10">
        <f>-Book_Build!G10*Assumptions!G14/100</f>
        <v>-84.93012340155498</v>
      </c>
      <c r="H13" s="8" t="inlineStr">
        <is>
          <t>average AUM times the credit-cost rate</t>
        </is>
      </c>
    </row>
    <row r="14">
      <c r="B14" s="11" t="inlineStr">
        <is>
          <t>Profit before tax</t>
        </is>
      </c>
      <c r="C14" s="12">
        <f>C12+C13</f>
        <v>614.5843576763452</v>
      </c>
      <c r="D14" s="12">
        <f>D12+D13</f>
        <v>667.6477162436469</v>
      </c>
      <c r="E14" s="12">
        <f>E12+E13</f>
        <v>716.2346438871218</v>
      </c>
      <c r="F14" s="12">
        <f>F12+F13</f>
        <v>776.1887237553382</v>
      </c>
      <c r="G14" s="12">
        <f>G12+G13</f>
        <v>845.4357712702317</v>
      </c>
      <c r="H14" s="8" t="inlineStr">
        <is>
          <t>Actuals: 400.76 (FY2023), 524.72 (FY2024), 587.49 (FY2025), 586.04 (FY2026) - FY2026 was FLAT on FY2025.</t>
        </is>
      </c>
    </row>
    <row r="15">
      <c r="B15" s="6" t="inlineStr">
        <is>
          <t>Tax</t>
        </is>
      </c>
      <c r="C15" s="10">
        <f>-C14*Assumptions!C15/100</f>
        <v>-154.87525813443898</v>
      </c>
      <c r="D15" s="10">
        <f>-D14*Assumptions!D15/100</f>
        <v>-168.24722449339902</v>
      </c>
      <c r="E15" s="10">
        <f>-E14*Assumptions!E15/100</f>
        <v>-180.4911302595547</v>
      </c>
      <c r="F15" s="10">
        <f>-F14*Assumptions!F15/100</f>
        <v>-195.5995583863452</v>
      </c>
      <c r="G15" s="10">
        <f>-G14*Assumptions!G15/100</f>
        <v>-213.0498143600984</v>
      </c>
      <c r="H15" s="8" t="inlineStr"/>
    </row>
    <row r="16">
      <c r="B16" s="11" t="inlineStr">
        <is>
          <t>Profit after tax</t>
        </is>
      </c>
      <c r="C16" s="12">
        <f>C14+C15</f>
        <v>459.70909954190626</v>
      </c>
      <c r="D16" s="12">
        <f>D14+D15</f>
        <v>499.40049175024785</v>
      </c>
      <c r="E16" s="12">
        <f>E14+E15</f>
        <v>535.7435136275672</v>
      </c>
      <c r="F16" s="12">
        <f>F14+F15</f>
        <v>580.589165368993</v>
      </c>
      <c r="G16" s="12">
        <f>G14+G15</f>
        <v>632.3859569101334</v>
      </c>
      <c r="H16" s="8" t="inlineStr">
        <is>
          <t>Actuals: 296.08 (FY2023), 394.70 (FY2024), 439.44 (FY2025), 452.77 (FY2026).</t>
        </is>
      </c>
    </row>
    <row r="17">
      <c r="B17" s="6" t="inlineStr">
        <is>
          <t>Dividend</t>
        </is>
      </c>
      <c r="C17" s="10">
        <f>-C16*Assumptions!C16/100</f>
        <v>-36.7767279633525</v>
      </c>
      <c r="D17" s="10">
        <f>-D16*Assumptions!D16/100</f>
        <v>-39.95203934001983</v>
      </c>
      <c r="E17" s="10">
        <f>-E16*Assumptions!E16/100</f>
        <v>-42.85948109020537</v>
      </c>
      <c r="F17" s="10">
        <f>-F16*Assumptions!F16/100</f>
        <v>-46.44713322951944</v>
      </c>
      <c r="G17" s="10">
        <f>-G16*Assumptions!G16/100</f>
        <v>-50.59087655281067</v>
      </c>
      <c r="H17" s="8" t="inlineStr"/>
    </row>
    <row r="18">
      <c r="B18" s="11" t="inlineStr">
        <is>
          <t>Retained earnings</t>
        </is>
      </c>
      <c r="C18" s="12">
        <f>C16+C17</f>
        <v>422.9323715785538</v>
      </c>
      <c r="D18" s="12">
        <f>D16+D17</f>
        <v>459.448452410228</v>
      </c>
      <c r="E18" s="12">
        <f>E16+E17</f>
        <v>492.8840325373618</v>
      </c>
      <c r="F18" s="12">
        <f>F16+F17</f>
        <v>534.1420321394736</v>
      </c>
      <c r="G18" s="12">
        <f>G16+G17</f>
        <v>581.7950803573227</v>
      </c>
      <c r="H18" s="8" t="inlineStr"/>
    </row>
  </sheetData>
  <mergeCells count="2">
    <mergeCell ref="B3:H3"/>
    <mergeCell ref="B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2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4" customWidth="1" min="2" max="2"/>
    <col width="15" customWidth="1" min="3" max="3"/>
    <col width="15" customWidth="1" min="4" max="4"/>
    <col width="15" customWidth="1" min="5" max="5"/>
    <col width="15" customWidth="1" min="6" max="6"/>
    <col width="15" customWidth="1" min="7" max="7"/>
    <col width="86" customWidth="1" min="8" max="8"/>
  </cols>
  <sheetData>
    <row r="2">
      <c r="B2" s="1" t="inlineStr">
        <is>
          <t>Projected balance sheet (Rs crore) - debt is the FUNDING GAP, not a trend</t>
        </is>
      </c>
    </row>
    <row r="3" ht="48" customHeight="1">
      <c r="B3" s="2" t="inlineStr">
        <is>
          <t>Failure mode 18: projected debt is DERIVED, never carried forward from the historical pattern. Assets follow the book the company chooses to write; equity follows retained earnings; debt is whatever is left over. The arithmetic is visible on the debt row itself.</t>
        </is>
      </c>
    </row>
    <row r="5">
      <c r="B5" s="3" t="inlineStr">
        <is>
          <t>Line</t>
        </is>
      </c>
      <c r="C5" s="4" t="inlineStr">
        <is>
          <t>FY2027E</t>
        </is>
      </c>
      <c r="D5" s="4" t="inlineStr">
        <is>
          <t>FY2028E</t>
        </is>
      </c>
      <c r="E5" s="4" t="inlineStr">
        <is>
          <t>FY2029E</t>
        </is>
      </c>
      <c r="F5" s="4" t="inlineStr">
        <is>
          <t>FY2030E</t>
        </is>
      </c>
      <c r="G5" s="4" t="inlineStr">
        <is>
          <t>FY2031E</t>
        </is>
      </c>
      <c r="H5" s="3" t="inlineStr">
        <is>
          <t>Derivation / source</t>
        </is>
      </c>
    </row>
    <row r="6">
      <c r="B6" s="6" t="inlineStr">
        <is>
          <t>Loans (closing AUM)</t>
        </is>
      </c>
      <c r="C6" s="10">
        <f>Book_Build!C9</f>
        <v>16637.8309</v>
      </c>
      <c r="D6" s="10">
        <f>Book_Build!D9</f>
        <v>17733.399647000002</v>
      </c>
      <c r="E6" s="10">
        <f>Book_Build!E9</f>
        <v>18995.72170701</v>
      </c>
      <c r="F6" s="10">
        <f>Book_Build!F9</f>
        <v>20428.4490168183</v>
      </c>
      <c r="G6" s="10">
        <f>Book_Build!G9</f>
        <v>22036.61268395919</v>
      </c>
      <c r="H6" s="8" t="inlineStr">
        <is>
          <t>from Book_Build</t>
        </is>
      </c>
    </row>
    <row r="7">
      <c r="B7" s="6" t="inlineStr">
        <is>
          <t>Non-earning assets</t>
        </is>
      </c>
      <c r="C7" s="10">
        <f>Assumptions!C20</f>
        <v>270.0</v>
      </c>
      <c r="D7" s="10">
        <f>Assumptions!D20</f>
        <v>284.0</v>
      </c>
      <c r="E7" s="10">
        <f>Assumptions!E20</f>
        <v>298.0</v>
      </c>
      <c r="F7" s="10">
        <f>Assumptions!F20</f>
        <v>313.0</v>
      </c>
      <c r="G7" s="10">
        <f>Assumptions!G20</f>
        <v>329.0</v>
      </c>
      <c r="H7" s="8" t="inlineStr">
        <is>
          <t>from Assumptions</t>
        </is>
      </c>
    </row>
    <row r="8">
      <c r="B8" s="11" t="inlineStr">
        <is>
          <t>Total assets</t>
        </is>
      </c>
      <c r="C8" s="12">
        <f>(C6+C7)/(1-Assumptions!C18/100)</f>
        <v>17165.310558375637</v>
      </c>
      <c r="D8" s="12">
        <f>(D6+D7)/(1-Assumptions!D18/100)</f>
        <v>18291.77629137056</v>
      </c>
      <c r="E8" s="12">
        <f>(E6+E7)/(1-Assumptions!E18/100)</f>
        <v>19587.534727928934</v>
      </c>
      <c r="F8" s="12">
        <f>(F6+F7)/(1-Assumptions!F18/100)</f>
        <v>21057.30864651604</v>
      </c>
      <c r="G8" s="12">
        <f>(G6+G7)/(1-Assumptions!G18/100)</f>
        <v>22706.205770516943</v>
      </c>
      <c r="H8" s="8" t="inlineStr">
        <is>
          <t>solved so that cash is the stated percentage OF the total: total assets = (loans + non-earning assets) / (1 - cash%)</t>
        </is>
      </c>
    </row>
    <row r="9">
      <c r="B9" s="6" t="inlineStr">
        <is>
          <t>Cash and liquid investments</t>
        </is>
      </c>
      <c r="C9" s="10">
        <f>C8*Assumptions!C18/100</f>
        <v>257.47965837563453</v>
      </c>
      <c r="D9" s="10">
        <f>D8*Assumptions!D18/100</f>
        <v>274.3766443705584</v>
      </c>
      <c r="E9" s="10">
        <f>E8*Assumptions!E18/100</f>
        <v>293.813020918934</v>
      </c>
      <c r="F9" s="10">
        <f>F8*Assumptions!F18/100</f>
        <v>315.8596296977406</v>
      </c>
      <c r="G9" s="10">
        <f>G8*Assumptions!G18/100</f>
        <v>340.59308655775413</v>
      </c>
      <c r="H9" s="8" t="inlineStr">
        <is>
          <t>the balancing asset</t>
        </is>
      </c>
    </row>
    <row r="10">
      <c r="B10" s="6" t="inlineStr">
        <is>
          <t>Opening total assets</t>
        </is>
      </c>
      <c r="C10" s="10" t="n">
        <v>16245.83</v>
      </c>
      <c r="D10" s="10">
        <f>C8</f>
        <v>17165.310558375637</v>
      </c>
      <c r="E10" s="10">
        <f>D8</f>
        <v>18291.77629137056</v>
      </c>
      <c r="F10" s="10">
        <f>E8</f>
        <v>19587.534727928934</v>
      </c>
      <c r="G10" s="10">
        <f>F8</f>
        <v>21057.30864651604</v>
      </c>
      <c r="H10" s="8" t="inlineStr">
        <is>
          <t>FY2027E opens on the 30-Jun-2026 total of 16,245.83 (Reg 54(3) certificate).</t>
        </is>
      </c>
    </row>
    <row r="11">
      <c r="B11" s="6" t="inlineStr">
        <is>
          <t>Average total assets</t>
        </is>
      </c>
      <c r="C11" s="10">
        <f>(C8+C10)/2</f>
        <v>16705.570279187818</v>
      </c>
      <c r="D11" s="10">
        <f>(D8+D10)/2</f>
        <v>17728.543424873096</v>
      </c>
      <c r="E11" s="10">
        <f>(E8+E10)/2</f>
        <v>18939.655509649747</v>
      </c>
      <c r="F11" s="10">
        <f>(F8+F10)/2</f>
        <v>20322.421687222486</v>
      </c>
      <c r="G11" s="10">
        <f>(G8+G10)/2</f>
        <v>21881.757208516494</v>
      </c>
      <c r="H11" s="8" t="inlineStr">
        <is>
          <t>denominator for the opex and return ratios</t>
        </is>
      </c>
    </row>
    <row r="12">
      <c r="B12" s="5" t="inlineStr">
        <is>
          <t>FUNDING</t>
        </is>
      </c>
    </row>
    <row r="13">
      <c r="B13" s="6" t="inlineStr">
        <is>
          <t>Opening net worth</t>
        </is>
      </c>
      <c r="C13" s="10" t="n">
        <v>4018.65</v>
      </c>
      <c r="D13" s="10">
        <f>C15</f>
        <v>4441.582371578554</v>
      </c>
      <c r="E13" s="10">
        <f>D15</f>
        <v>4901.030823988782</v>
      </c>
      <c r="F13" s="10">
        <f>E15</f>
        <v>5393.914856526144</v>
      </c>
      <c r="G13" s="10">
        <f>F15</f>
        <v>5928.056888665617</v>
      </c>
      <c r="H13" s="8" t="inlineStr">
        <is>
          <t>FY2027E opens on the Reg 52(4) net worth of 4,018.65 at 30-Jun-2026 - the company's own published figure, not a derived one.</t>
        </is>
      </c>
    </row>
    <row r="14">
      <c r="B14" s="6" t="inlineStr">
        <is>
          <t>Add: retained earnings</t>
        </is>
      </c>
      <c r="C14" s="10">
        <f>P_and_L!C18</f>
        <v>422.9323715785538</v>
      </c>
      <c r="D14" s="10">
        <f>P_and_L!D18</f>
        <v>459.448452410228</v>
      </c>
      <c r="E14" s="10">
        <f>P_and_L!E18</f>
        <v>492.8840325373618</v>
      </c>
      <c r="F14" s="10">
        <f>P_and_L!F18</f>
        <v>534.1420321394736</v>
      </c>
      <c r="G14" s="10">
        <f>P_and_L!G18</f>
        <v>581.7950803573227</v>
      </c>
      <c r="H14" s="8" t="inlineStr">
        <is>
          <t>from P_and_L</t>
        </is>
      </c>
    </row>
    <row r="15">
      <c r="B15" s="11" t="inlineStr">
        <is>
          <t>Closing net worth</t>
        </is>
      </c>
      <c r="C15" s="12">
        <f>C13+C14</f>
        <v>4441.582371578554</v>
      </c>
      <c r="D15" s="12">
        <f>D13+D14</f>
        <v>4901.030823988782</v>
      </c>
      <c r="E15" s="12">
        <f>E13+E14</f>
        <v>5393.914856526144</v>
      </c>
      <c r="F15" s="12">
        <f>F13+F14</f>
        <v>5928.056888665617</v>
      </c>
      <c r="G15" s="12">
        <f>G13+G14</f>
        <v>6509.8519690229405</v>
      </c>
      <c r="H15" s="8" t="inlineStr"/>
    </row>
    <row r="16">
      <c r="B16" s="6" t="inlineStr">
        <is>
          <t>Non-debt liabilities</t>
        </is>
      </c>
      <c r="C16" s="10">
        <f>C8*Assumptions!C19/100</f>
        <v>154.48779502538073</v>
      </c>
      <c r="D16" s="10">
        <f>D8*Assumptions!D19/100</f>
        <v>164.62598662233503</v>
      </c>
      <c r="E16" s="10">
        <f>E8*Assumptions!E19/100</f>
        <v>176.2878125513604</v>
      </c>
      <c r="F16" s="10">
        <f>F8*Assumptions!F19/100</f>
        <v>189.51577781864438</v>
      </c>
      <c r="G16" s="10">
        <f>G8*Assumptions!G19/100</f>
        <v>204.3558519346525</v>
      </c>
      <c r="H16" s="8" t="inlineStr">
        <is>
          <t>from Assumptions</t>
        </is>
      </c>
    </row>
    <row r="17">
      <c r="B17" s="11" t="inlineStr">
        <is>
          <t>Total debt (FUNDING GAP)</t>
        </is>
      </c>
      <c r="C17" s="12">
        <f>C8-C15-C16</f>
        <v>12569.240391771702</v>
      </c>
      <c r="D17" s="12">
        <f>D8-D15-D16</f>
        <v>13226.119480759442</v>
      </c>
      <c r="E17" s="12">
        <f>E8-E15-E16</f>
        <v>14017.33205885143</v>
      </c>
      <c r="F17" s="12">
        <f>F8-F15-F16</f>
        <v>14939.735980031779</v>
      </c>
      <c r="G17" s="12">
        <f>G8-G15-G16</f>
        <v>15991.99794955935</v>
      </c>
      <c r="H17" s="8" t="inlineStr">
        <is>
          <t>total assets less net worth less non-debt liabilities. This is the borrowing the company must have outstanding to fund the book it writes - derived from the funding requirement, not extrapolated from the historical debt trend.</t>
        </is>
      </c>
    </row>
    <row r="18">
      <c r="B18" s="6" t="inlineStr">
        <is>
          <t>Opening total debt</t>
        </is>
      </c>
      <c r="C18" s="10" t="n">
        <v>12087.01</v>
      </c>
      <c r="D18" s="10">
        <f>C17</f>
        <v>12569.240391771702</v>
      </c>
      <c r="E18" s="10">
        <f>D17</f>
        <v>13226.119480759442</v>
      </c>
      <c r="F18" s="10">
        <f>E17</f>
        <v>14017.33205885143</v>
      </c>
      <c r="G18" s="10">
        <f>F17</f>
        <v>14939.735980031779</v>
      </c>
      <c r="H18" s="8" t="inlineStr">
        <is>
          <t>FY2027E opens on the 30-Jun-2026 total of 12,087.01 (bank 10,992.79 + other borrowings 895.03 + listed secured NCD 125.49 + other debt securities 73.70).</t>
        </is>
      </c>
    </row>
    <row r="19">
      <c r="B19" s="6" t="inlineStr">
        <is>
          <t>Average total debt (memo only - not used upstream)</t>
        </is>
      </c>
      <c r="C19" s="10">
        <f>(C17+C18)/2</f>
        <v>12328.125195885852</v>
      </c>
      <c r="D19" s="10">
        <f>(D17+D18)/2</f>
        <v>12897.679936265573</v>
      </c>
      <c r="E19" s="10">
        <f>(E17+E18)/2</f>
        <v>13621.725769805436</v>
      </c>
      <c r="F19" s="10">
        <f>(F17+F18)/2</f>
        <v>14478.534019441606</v>
      </c>
      <c r="G19" s="10">
        <f>(G17+G18)/2</f>
        <v>15465.866964795565</v>
      </c>
      <c r="H19" s="8" t="inlineStr">
        <is>
          <t>display only. Finance costs is priced on OPENING debt, not this average, to avoid a circular reference (closing debt needs closing net worth needs retained earnings needs PAT needs finance costs needs... closing debt).</t>
        </is>
      </c>
    </row>
    <row r="20">
      <c r="B20" s="11" t="inlineStr">
        <is>
          <t>Incremental borrowing required in the year</t>
        </is>
      </c>
      <c r="C20" s="12">
        <f>C17-C18</f>
        <v>482.23039177170176</v>
      </c>
      <c r="D20" s="12">
        <f>D17-D18</f>
        <v>656.87908898774</v>
      </c>
      <c r="E20" s="12">
        <f>E17-E18</f>
        <v>791.2125780919887</v>
      </c>
      <c r="F20" s="12">
        <f>F17-F18</f>
        <v>922.4039211803483</v>
      </c>
      <c r="G20" s="12">
        <f>G17-G18</f>
        <v>1052.2619695275716</v>
      </c>
      <c r="H20" s="8" t="inlineStr">
        <is>
          <t>the quantum that has to be raised each year from a funding base that was 100% bank and NHB at 31-Mar-2025 - the central refinancing question in this rating.</t>
        </is>
      </c>
    </row>
  </sheetData>
  <mergeCells count="3">
    <mergeCell ref="B3:H3"/>
    <mergeCell ref="B2:H2"/>
    <mergeCell ref="B12:H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1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4" customWidth="1" min="2" max="2"/>
    <col width="15" customWidth="1" min="3" max="3"/>
    <col width="15" customWidth="1" min="4" max="4"/>
    <col width="15" customWidth="1" min="5" max="5"/>
    <col width="15" customWidth="1" min="6" max="6"/>
    <col width="15" customWidth="1" min="7" max="7"/>
    <col width="86" customWidth="1" min="8" max="8"/>
  </cols>
  <sheetData>
    <row r="2">
      <c r="B2" s="1" t="inlineStr">
        <is>
          <t>Credit ratios on ICRA HFC conventions, every projected year</t>
        </is>
      </c>
    </row>
    <row r="3" ht="48" customHeight="1">
      <c r="B3" s="2" t="inlineStr">
        <is>
          <t>The same convention set as the historical workbook, so projected years sit on identical definitions. Total managed assets = total assets + impairment allowance, VERBATIM from ICRA's own footnote in the GIC Housing Finance rationale of 10-Oct-2025.</t>
        </is>
      </c>
    </row>
    <row r="5">
      <c r="B5" s="3" t="inlineStr">
        <is>
          <t>Line</t>
        </is>
      </c>
      <c r="C5" s="4" t="inlineStr">
        <is>
          <t>FY2027E</t>
        </is>
      </c>
      <c r="D5" s="4" t="inlineStr">
        <is>
          <t>FY2028E</t>
        </is>
      </c>
      <c r="E5" s="4" t="inlineStr">
        <is>
          <t>FY2029E</t>
        </is>
      </c>
      <c r="F5" s="4" t="inlineStr">
        <is>
          <t>FY2030E</t>
        </is>
      </c>
      <c r="G5" s="4" t="inlineStr">
        <is>
          <t>FY2031E</t>
        </is>
      </c>
      <c r="H5" s="3" t="inlineStr">
        <is>
          <t>Derivation / source</t>
        </is>
      </c>
    </row>
    <row r="6">
      <c r="B6" s="6" t="inlineStr">
        <is>
          <t>Impairment allowance (closing)</t>
        </is>
      </c>
      <c r="C6" s="10">
        <f>Book_Build!C9*0.0276</f>
        <v>459.20413284</v>
      </c>
      <c r="D6" s="10">
        <f>Book_Build!D9*0.0276</f>
        <v>489.4418302572</v>
      </c>
      <c r="E6" s="10">
        <f>Book_Build!E9*0.0276</f>
        <v>524.2819191134761</v>
      </c>
      <c r="F6" s="10">
        <f>Book_Build!F9*0.0276</f>
        <v>563.825192864185</v>
      </c>
      <c r="G6" s="10">
        <f>Book_Build!G9*0.0276</f>
        <v>608.2105100772736</v>
      </c>
      <c r="H6" s="8" t="inlineStr">
        <is>
          <t>FY2025 actual 433.39 on gross exposure of 14,542.57 = 2.98%; FY2024 517.86 on 13,560.22 = 3.82%. Held at 2.76%, the level implied by 30-Jun-2026 provision coverage of 43.48% on gross NPA of 3.33% plus standard-asset provisioning.</t>
        </is>
      </c>
    </row>
    <row r="7">
      <c r="B7" s="11" t="inlineStr">
        <is>
          <t>Total managed assets</t>
        </is>
      </c>
      <c r="C7" s="12">
        <f>Balance_Sheet!C8+C6</f>
        <v>17624.514691215638</v>
      </c>
      <c r="D7" s="12">
        <f>Balance_Sheet!D8+D6</f>
        <v>18781.21812162776</v>
      </c>
      <c r="E7" s="12">
        <f>Balance_Sheet!E8+E6</f>
        <v>20111.81664704241</v>
      </c>
      <c r="F7" s="12">
        <f>Balance_Sheet!F8+F6</f>
        <v>21621.133839380225</v>
      </c>
      <c r="G7" s="12">
        <f>Balance_Sheet!G8+G6</f>
        <v>23314.416280594218</v>
      </c>
      <c r="H7" s="8" t="inlineStr">
        <is>
          <t>ICRA definition</t>
        </is>
      </c>
    </row>
    <row r="8">
      <c r="B8" s="6" t="inlineStr">
        <is>
          <t>Opening total managed assets</t>
        </is>
      </c>
      <c r="C8" s="10" t="n">
        <v>16679.22</v>
      </c>
      <c r="D8" s="10">
        <f>C7</f>
        <v>17624.514691215638</v>
      </c>
      <c r="E8" s="10">
        <f>D7</f>
        <v>18781.21812162776</v>
      </c>
      <c r="F8" s="10">
        <f>E7</f>
        <v>20111.81664704241</v>
      </c>
      <c r="G8" s="10">
        <f>F7</f>
        <v>21621.133839380225</v>
      </c>
      <c r="H8" s="8" t="inlineStr">
        <is>
          <t>FY2027E opening approximates the 30-Jun-2026 allowance with the FY2025 actual of 433.39, the latest disclosed - the allowance is not disclosed after FY2025.</t>
        </is>
      </c>
    </row>
    <row r="9">
      <c r="B9" s="6" t="inlineStr">
        <is>
          <t>Net interest margin (% of average total assets)</t>
        </is>
      </c>
      <c r="C9" s="13">
        <f>100*P_and_L!C10/Balance_Sheet!C11</f>
        <v>5.4893553583887815</v>
      </c>
      <c r="D9" s="13">
        <f>100*P_and_L!D10/Balance_Sheet!D11</f>
        <v>5.615841849984819</v>
      </c>
      <c r="E9" s="13">
        <f>100*P_and_L!E10/Balance_Sheet!E11</f>
        <v>5.661039085737169</v>
      </c>
      <c r="F9" s="13">
        <f>100*P_and_L!F10/Balance_Sheet!F11</f>
        <v>5.7379588034812254</v>
      </c>
      <c r="G9" s="13">
        <f>100*P_and_L!G10/Balance_Sheet!G11</f>
        <v>5.8017878514330805</v>
      </c>
      <c r="H9" s="8" t="inlineStr">
        <is>
          <t>Actuals 4.75 / 5.18 / 5.08; 5.51 annualised in Q1FY2027</t>
        </is>
      </c>
    </row>
    <row r="10">
      <c r="B10" s="6" t="inlineStr">
        <is>
          <t>Operating expenses / average total assets (%)</t>
        </is>
      </c>
      <c r="C10" s="13">
        <f>-100*P_and_L!C11/Balance_Sheet!C11</f>
        <v>1.52</v>
      </c>
      <c r="D10" s="13">
        <f>-100*P_and_L!D11/Balance_Sheet!D11</f>
        <v>1.5300000000000002</v>
      </c>
      <c r="E10" s="13">
        <f>-100*P_and_L!E11/Balance_Sheet!E11</f>
        <v>1.54</v>
      </c>
      <c r="F10" s="13">
        <f>-100*P_and_L!F11/Balance_Sheet!F11</f>
        <v>1.55</v>
      </c>
      <c r="G10" s="13">
        <f>-100*P_and_L!G11/Balance_Sheet!G11</f>
        <v>1.5500000000000003</v>
      </c>
      <c r="H10" s="8" t="inlineStr">
        <is>
          <t>Actuals 1.19 / 1.30 / 1.47</t>
        </is>
      </c>
    </row>
    <row r="11">
      <c r="B11" s="6" t="inlineStr">
        <is>
          <t>Credit cost (% of average AUM)</t>
        </is>
      </c>
      <c r="C11" s="13">
        <f>-100*P_and_L!C13/Book_Build!C10</f>
        <v>0.3</v>
      </c>
      <c r="D11" s="13">
        <f>-100*P_and_L!D13/Book_Build!D10</f>
        <v>0.33</v>
      </c>
      <c r="E11" s="13">
        <f>-100*P_and_L!E13/Book_Build!E10</f>
        <v>0.3499999999999999</v>
      </c>
      <c r="F11" s="13">
        <f>-100*P_and_L!F13/Book_Build!F10</f>
        <v>0.38</v>
      </c>
      <c r="G11" s="13">
        <f>-100*P_and_L!G13/Book_Build!G10</f>
        <v>0.4</v>
      </c>
      <c r="H11" s="8" t="inlineStr">
        <is>
          <t>Actuals 0.40 / -0.00 / -0.26 on average managed assets; the negative years were write-backs</t>
        </is>
      </c>
    </row>
    <row r="12">
      <c r="B12" s="11" t="inlineStr">
        <is>
          <t>Return on average managed assets (%)</t>
        </is>
      </c>
      <c r="C12" s="14">
        <f>100*P_and_L!C16/((C7+C8)/2)</f>
        <v>2.680227699286788</v>
      </c>
      <c r="D12" s="14">
        <f>100*P_and_L!D16/((D7+D8)/2)</f>
        <v>2.743526654538687</v>
      </c>
      <c r="E12" s="14">
        <f>100*P_and_L!E16/((E7+E8)/2)</f>
        <v>2.754958654237643</v>
      </c>
      <c r="F12" s="14">
        <f>100*P_and_L!F16/((F7+F8)/2)</f>
        <v>2.7824017166381823</v>
      </c>
      <c r="G12" s="14">
        <f>100*P_and_L!G16/((G7+G8)/2)</f>
        <v>2.8146354288384665</v>
      </c>
      <c r="H12" s="8" t="inlineStr">
        <is>
          <t>Actuals 2.32 / 2.90 / 3.00. CareEdge's stated downgrade trigger is a sustained return on average total assets below 2.00%.</t>
        </is>
      </c>
    </row>
    <row r="13">
      <c r="B13" s="6" t="inlineStr">
        <is>
          <t>Return on average net worth (%)</t>
        </is>
      </c>
      <c r="C13" s="13">
        <f>100*P_and_L!C16/((Balance_Sheet!C15+Balance_Sheet!C13)/2)</f>
        <v>10.867528912947137</v>
      </c>
      <c r="D13" s="13">
        <f>100*P_and_L!D16/((Balance_Sheet!D15+Balance_Sheet!D13)/2)</f>
        <v>10.690809547529843</v>
      </c>
      <c r="E13" s="13">
        <f>100*P_and_L!E16/((Balance_Sheet!E15+Balance_Sheet!E13)/2)</f>
        <v>10.407893936566564</v>
      </c>
      <c r="F13" s="13">
        <f>100*P_and_L!F16/((Balance_Sheet!F15+Balance_Sheet!F13)/2)</f>
        <v>10.255972695136938</v>
      </c>
      <c r="G13" s="13">
        <f>100*P_and_L!G16/((Balance_Sheet!G15+Balance_Sheet!G13)/2)</f>
        <v>10.16868613760939</v>
      </c>
      <c r="H13" s="8" t="inlineStr">
        <is>
          <t>Actuals 12.46 / 14.59 / 14.16</t>
        </is>
      </c>
    </row>
    <row r="14">
      <c r="B14" s="11" t="inlineStr">
        <is>
          <t>Gearing (times)</t>
        </is>
      </c>
      <c r="C14" s="14">
        <f>Balance_Sheet!C17/Balance_Sheet!C15</f>
        <v>2.829901449582832</v>
      </c>
      <c r="D14" s="14">
        <f>Balance_Sheet!D17/Balance_Sheet!D15</f>
        <v>2.698640338277888</v>
      </c>
      <c r="E14" s="14">
        <f>Balance_Sheet!E17/Balance_Sheet!E15</f>
        <v>2.5987306866536355</v>
      </c>
      <c r="F14" s="14">
        <f>Balance_Sheet!F17/Balance_Sheet!F15</f>
        <v>2.5201741920858414</v>
      </c>
      <c r="G14" s="14">
        <f>Balance_Sheet!G17/Balance_Sheet!G15</f>
        <v>2.456583963146489</v>
      </c>
      <c r="H14" s="8" t="inlineStr">
        <is>
          <t>Actuals 3.94 / 3.70 / 3.36; 3.01 at 30-Jun-2026. CareEdge's downgrade trigger is gearing sustained above 5x; the regulatory ceiling for an HFC is 12x net owned funds.</t>
        </is>
      </c>
    </row>
    <row r="15">
      <c r="B15" s="11" t="inlineStr">
        <is>
          <t>CRAR (%) - indicative</t>
        </is>
      </c>
      <c r="C15" s="14">
        <f>100*(Balance_Sheet!C15-Assumptions!C20)/(Book_Build!C9*Assumptions!C21/100)</f>
        <v>40.18088775972002</v>
      </c>
      <c r="D15" s="14">
        <f>100*(Balance_Sheet!D15-Assumptions!D20)/(Book_Build!D9*Assumptions!D21/100)</f>
        <v>41.72402362909642</v>
      </c>
      <c r="E15" s="14">
        <f>100*(Balance_Sheet!E15-Assumptions!E20)/(Book_Build!E9*Assumptions!E21/100)</f>
        <v>42.9914185138762</v>
      </c>
      <c r="F15" s="14">
        <f>100*(Balance_Sheet!F15-Assumptions!F20)/(Book_Build!F9*Assumptions!F21/100)</f>
        <v>44.04880956073825</v>
      </c>
      <c r="G15" s="14">
        <f>100*(Balance_Sheet!G15-Assumptions!G20)/(Book_Build!G9*Assumptions!G21/100)</f>
        <v>44.94888407250077</v>
      </c>
      <c r="H15" s="8" t="inlineStr">
        <is>
          <t>Net owned funds approximated as net worth less non-earning assets, over risk-weighted assets at the stated density. INDICATIVE ONLY - the regulatory computation deducts specific items this model cannot see. Reported CRAR was 35.79 / 33.97 / 37.09 for FY2023-FY2025 against a 15% minimum.</t>
        </is>
      </c>
    </row>
    <row r="16">
      <c r="B16" s="6" t="inlineStr">
        <is>
          <t>Equity / total assets (%)</t>
        </is>
      </c>
      <c r="C16" s="13">
        <f>100*Balance_Sheet!C15/Balance_Sheet!C8</f>
        <v>25.875339432244232</v>
      </c>
      <c r="D16" s="13">
        <f>100*Balance_Sheet!D15/Balance_Sheet!D8</f>
        <v>26.793629803470328</v>
      </c>
      <c r="E16" s="13">
        <f>100*Balance_Sheet!E15/Balance_Sheet!E8</f>
        <v>27.5374871388752</v>
      </c>
      <c r="F16" s="13">
        <f>100*Balance_Sheet!F15/Balance_Sheet!F8</f>
        <v>28.152015949324188</v>
      </c>
      <c r="G16" s="13">
        <f>100*Balance_Sheet!G15/Balance_Sheet!G8</f>
        <v>28.66992413798923</v>
      </c>
      <c r="H16" s="8" t="inlineStr">
        <is>
          <t>Actuals 20.09 / 21.11 / 22.69; 24.74 at 30-Jun-2026</t>
        </is>
      </c>
    </row>
    <row r="17">
      <c r="B17" s="11" t="inlineStr">
        <is>
          <t>Pre-provision profit / credit cost (times)</t>
        </is>
      </c>
      <c r="C17" s="14">
        <f>-P_and_L!C12/P_and_L!C13</f>
        <v>13.666856294627317</v>
      </c>
      <c r="D17" s="14">
        <f>-P_and_L!D12/P_and_L!D13</f>
        <v>12.772490338636468</v>
      </c>
      <c r="E17" s="14">
        <f>-P_and_L!E12/P_and_L!E13</f>
        <v>12.143118165536672</v>
      </c>
      <c r="F17" s="14">
        <f>-P_and_L!F12/P_and_L!F13</f>
        <v>11.362180698374184</v>
      </c>
      <c r="G17" s="14">
        <f>-P_and_L!G12/P_and_L!G13</f>
        <v>10.954486552114826</v>
      </c>
      <c r="H17" s="8" t="inlineStr">
        <is>
          <t>ICRA's NBFC methodology: 'pre-credit-cost profits in relation to credit costs provides insights into the buffer created by business profits on the incurred credit cost'. This row is that buffer, in multiples.</t>
        </is>
      </c>
    </row>
  </sheetData>
  <mergeCells count="2">
    <mergeCell ref="B3:H3"/>
    <mergeCell ref="B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2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4" customWidth="1" min="2" max="2"/>
    <col width="15" customWidth="1" min="3" max="3"/>
    <col width="15" customWidth="1" min="4" max="4"/>
    <col width="15" customWidth="1" min="5" max="5"/>
    <col width="15" customWidth="1" min="6" max="6"/>
    <col width="15" customWidth="1" min="7" max="7"/>
    <col width="86" customWidth="1" min="8" max="8"/>
  </cols>
  <sheetData>
    <row r="2">
      <c r="B2" s="1" t="inlineStr">
        <is>
          <t>Debt structure - actuals at 30-Jun-2026 and the projected requirement</t>
        </is>
      </c>
    </row>
    <row r="3" ht="48" customHeight="1">
      <c r="B3" s="2" t="inlineStr">
        <is>
          <t>Statutory decomposition tied to the Reg 54(3) security-cover certificate of 30-Jun-2026 and the funding-concentration disclosure of 31-Mar-2025, plus the rated-limits-versus-drawn-debt distinction (failure modes 13 and 31). Actual figures appear in the FY2027E column only because that is the column adjacent to the labels; they are dated in the note.</t>
        </is>
      </c>
    </row>
    <row r="5">
      <c r="B5" s="3" t="inlineStr">
        <is>
          <t>Line</t>
        </is>
      </c>
      <c r="C5" s="4" t="inlineStr">
        <is>
          <t>FY2027E</t>
        </is>
      </c>
      <c r="D5" s="4" t="inlineStr">
        <is>
          <t>FY2028E</t>
        </is>
      </c>
      <c r="E5" s="4" t="inlineStr">
        <is>
          <t>FY2029E</t>
        </is>
      </c>
      <c r="F5" s="4" t="inlineStr">
        <is>
          <t>FY2030E</t>
        </is>
      </c>
      <c r="G5" s="4" t="inlineStr">
        <is>
          <t>FY2031E</t>
        </is>
      </c>
      <c r="H5" s="3" t="inlineStr">
        <is>
          <t>Derivation / source</t>
        </is>
      </c>
    </row>
    <row r="6">
      <c r="B6" s="5" t="inlineStr">
        <is>
          <t>ACTUAL DRAWN DEBT AT 30-JUN-2026 (Reg 54(3) certificate)</t>
        </is>
      </c>
    </row>
    <row r="7">
      <c r="B7" s="6" t="inlineStr">
        <is>
          <t>Bank borrowings (pari passu charge)</t>
        </is>
      </c>
      <c r="C7" s="10" t="n">
        <v>10992.79</v>
      </c>
      <c r="D7" s="10" t="n"/>
      <c r="E7" s="10" t="n"/>
      <c r="F7" s="10" t="n"/>
      <c r="G7" s="10" t="n"/>
      <c r="H7" s="8" t="inlineStr">
        <is>
          <t>security-cover certificate</t>
        </is>
      </c>
    </row>
    <row r="8">
      <c r="B8" s="6" t="inlineStr">
        <is>
          <t>Other borrowings</t>
        </is>
      </c>
      <c r="C8" s="10" t="n">
        <v>895.03</v>
      </c>
      <c r="D8" s="10" t="n"/>
      <c r="E8" s="10" t="n"/>
      <c r="F8" s="10" t="n"/>
      <c r="G8" s="10" t="n"/>
      <c r="H8" s="8" t="inlineStr">
        <is>
          <t>security-cover certificate</t>
        </is>
      </c>
    </row>
    <row r="9">
      <c r="B9" s="6" t="inlineStr">
        <is>
          <t>Listed secured non-convertible debentures</t>
        </is>
      </c>
      <c r="C9" s="10" t="n">
        <v>125.49</v>
      </c>
      <c r="D9" s="10" t="n"/>
      <c r="E9" s="10" t="n"/>
      <c r="F9" s="10" t="n"/>
      <c r="G9" s="10" t="n"/>
      <c r="H9" s="8" t="inlineStr">
        <is>
          <t>8.40% Repco Home Finance Limited 2029, ISIN INE612J07160, Debenture Trust Deed dated 13-03-2026, face value Rs 100,000. The auditor certifies compliance with the financial covenants of the Trust Deed for the quarter ended 30-Jun-2026.</t>
        </is>
      </c>
    </row>
    <row r="10">
      <c r="B10" s="6" t="inlineStr">
        <is>
          <t>Other debt securities</t>
        </is>
      </c>
      <c r="C10" s="10" t="n">
        <v>73.7</v>
      </c>
      <c r="D10" s="10" t="n"/>
      <c r="E10" s="10" t="n"/>
      <c r="F10" s="10" t="n"/>
      <c r="G10" s="10" t="n"/>
      <c r="H10" s="8" t="inlineStr">
        <is>
          <t>security-cover certificate</t>
        </is>
      </c>
    </row>
    <row r="11">
      <c r="B11" s="11" t="inlineStr">
        <is>
          <t>TOTAL DRAWN DEBT</t>
        </is>
      </c>
      <c r="C11" s="12" t="n">
        <v>12087.01</v>
      </c>
      <c r="D11" s="12" t="n"/>
      <c r="E11" s="12" t="n"/>
      <c r="F11" s="12" t="n"/>
      <c r="G11" s="12" t="n"/>
      <c r="H11" s="8" t="inlineStr">
        <is>
          <t>reproduces the company's own Reg 52(4) disclosure: 12,087.01 / 16,245.83 = 0.744, published as 0.74. This is the check that PROVES the assembled debt figure.</t>
        </is>
      </c>
    </row>
    <row r="12">
      <c r="B12" s="6" t="inlineStr">
        <is>
          <t>Lease liabilities (excluded from gearing)</t>
        </is>
      </c>
      <c r="C12" s="10" t="n">
        <v>51.03</v>
      </c>
      <c r="D12" s="10" t="n"/>
      <c r="E12" s="10" t="n"/>
      <c r="F12" s="10" t="n"/>
      <c r="G12" s="10" t="n"/>
      <c r="H12" s="8" t="inlineStr">
        <is>
          <t>separately disclosed only at this date; sits inside other financial liabilities in every earlier period, so gearing is computed excluding leases in ALL periods rather than on a basis that changes midway through the series.</t>
        </is>
      </c>
    </row>
    <row r="13">
      <c r="B13" s="5" t="inlineStr">
        <is>
          <t>FUNDING CONCENTRATION AT 31-MAR-2025 (AR Note 34)</t>
        </is>
      </c>
    </row>
    <row r="14">
      <c r="B14" s="6" t="inlineStr">
        <is>
          <t>Long-term loan facility</t>
        </is>
      </c>
      <c r="C14" s="10" t="n">
        <v>9762.33</v>
      </c>
      <c r="D14" s="10" t="n"/>
      <c r="E14" s="10" t="n"/>
      <c r="F14" s="10" t="n"/>
      <c r="G14" s="10" t="n"/>
      <c r="H14" s="8" t="inlineStr">
        <is>
          <t>86.48% of total liabilities</t>
        </is>
      </c>
    </row>
    <row r="15">
      <c r="B15" s="6" t="inlineStr">
        <is>
          <t>Refinance from National Housing Bank</t>
        </is>
      </c>
      <c r="C15" s="10" t="n">
        <v>875.54</v>
      </c>
      <c r="D15" s="10" t="n"/>
      <c r="E15" s="10" t="n"/>
      <c r="F15" s="10" t="n"/>
      <c r="G15" s="10" t="n"/>
      <c r="H15" s="8" t="inlineStr">
        <is>
          <t>7.76% of total liabilities</t>
        </is>
      </c>
    </row>
    <row r="16">
      <c r="B16" s="6" t="inlineStr">
        <is>
          <t>Working capital loans including cash credit</t>
        </is>
      </c>
      <c r="C16" s="10" t="n">
        <v>501.22</v>
      </c>
      <c r="D16" s="10" t="n"/>
      <c r="E16" s="10" t="n"/>
      <c r="F16" s="10" t="n"/>
      <c r="G16" s="10" t="n"/>
      <c r="H16" s="8" t="inlineStr">
        <is>
          <t>4.44% of total liabilities</t>
        </is>
      </c>
    </row>
    <row r="17">
      <c r="B17" s="6" t="inlineStr">
        <is>
          <t>Commercial paper</t>
        </is>
      </c>
      <c r="C17" s="10" t="n">
        <v>0</v>
      </c>
      <c r="D17" s="10" t="n"/>
      <c r="E17" s="10" t="n"/>
      <c r="F17" s="10" t="n"/>
      <c r="G17" s="10" t="n"/>
      <c r="H17" s="8" t="inlineStr">
        <is>
          <t>NIL at every quarter-end from 31-Mar-2024 to 31-Mar-2025</t>
        </is>
      </c>
    </row>
    <row r="18">
      <c r="B18" s="6" t="inlineStr">
        <is>
          <t>External commercial borrowing</t>
        </is>
      </c>
      <c r="C18" s="10" t="n">
        <v>0</v>
      </c>
      <c r="D18" s="10" t="n"/>
      <c r="E18" s="10" t="n"/>
      <c r="F18" s="10" t="n"/>
      <c r="G18" s="10" t="n"/>
      <c r="H18" s="8" t="inlineStr">
        <is>
          <t>NIL</t>
        </is>
      </c>
    </row>
    <row r="19">
      <c r="B19" s="6" t="inlineStr">
        <is>
          <t>Secured non-convertible debentures</t>
        </is>
      </c>
      <c r="C19" s="10" t="n">
        <v>0</v>
      </c>
      <c r="D19" s="10" t="n"/>
      <c r="E19" s="10" t="n"/>
      <c r="F19" s="10" t="n"/>
      <c r="G19" s="10" t="n"/>
      <c r="H19" s="8" t="inlineStr">
        <is>
          <t>NIL at 31-Mar-2025</t>
        </is>
      </c>
    </row>
    <row r="20">
      <c r="B20" s="6" t="inlineStr">
        <is>
          <t>Subordinated Tier-II NCDs</t>
        </is>
      </c>
      <c r="C20" s="10" t="n">
        <v>0</v>
      </c>
      <c r="D20" s="10" t="n"/>
      <c r="E20" s="10" t="n"/>
      <c r="F20" s="10" t="n"/>
      <c r="G20" s="10" t="n"/>
      <c r="H20" s="8" t="inlineStr">
        <is>
          <t>NIL</t>
        </is>
      </c>
    </row>
    <row r="21">
      <c r="B21" s="6" t="inlineStr">
        <is>
          <t>Public deposits</t>
        </is>
      </c>
      <c r="C21" s="10" t="n">
        <v>0</v>
      </c>
      <c r="D21" s="10" t="n"/>
      <c r="E21" s="10" t="n"/>
      <c r="F21" s="10" t="n"/>
      <c r="G21" s="10" t="n"/>
      <c r="H21" s="8" t="inlineStr">
        <is>
          <t>the company does not accept public deposits</t>
        </is>
      </c>
    </row>
    <row r="22">
      <c r="B22" s="6" t="inlineStr">
        <is>
          <t>Top 10 borrowings</t>
        </is>
      </c>
      <c r="C22" s="10" t="n">
        <v>10397.24</v>
      </c>
      <c r="D22" s="10" t="n"/>
      <c r="E22" s="10" t="n"/>
      <c r="F22" s="10" t="n"/>
      <c r="G22" s="10" t="n"/>
      <c r="H22" s="8" t="inlineStr">
        <is>
          <t>93.34% of total borrowings</t>
        </is>
      </c>
    </row>
    <row r="23">
      <c r="B23" s="6" t="inlineStr">
        <is>
          <t>Twelve significant counterparties</t>
        </is>
      </c>
      <c r="C23" s="10" t="n">
        <v>10914.96</v>
      </c>
      <c r="D23" s="10" t="n"/>
      <c r="E23" s="10" t="n"/>
      <c r="F23" s="10" t="n"/>
      <c r="G23" s="10" t="n"/>
      <c r="H23" s="8" t="inlineStr">
        <is>
          <t>96.69% of total liabilities</t>
        </is>
      </c>
    </row>
    <row r="24">
      <c r="B24" s="5" t="inlineStr">
        <is>
          <t>PROJECTED INCREMENTAL BORROWING</t>
        </is>
      </c>
    </row>
    <row r="25">
      <c r="B25" s="6" t="inlineStr">
        <is>
          <t>Incremental borrowing required</t>
        </is>
      </c>
      <c r="C25" s="10">
        <f>Balance_Sheet!C20</f>
        <v>482.23039177170176</v>
      </c>
      <c r="D25" s="10">
        <f>Balance_Sheet!D20</f>
        <v>656.87908898774</v>
      </c>
      <c r="E25" s="10">
        <f>Balance_Sheet!E20</f>
        <v>791.2125780919887</v>
      </c>
      <c r="F25" s="10">
        <f>Balance_Sheet!F20</f>
        <v>922.4039211803483</v>
      </c>
      <c r="G25" s="10">
        <f>Balance_Sheet!G20</f>
        <v>1052.2619695275716</v>
      </c>
      <c r="H25" s="8" t="inlineStr">
        <is>
          <t>the annual quantum that has to be raised, refinanced or replaced</t>
        </is>
      </c>
    </row>
    <row r="26">
      <c r="B26" s="6" t="inlineStr">
        <is>
          <t>as a multiple of the FY2026 NCD issuance</t>
        </is>
      </c>
      <c r="C26" s="15">
        <f>Balance_Sheet!C20/199.19</f>
        <v>2.420956834036356</v>
      </c>
      <c r="D26" s="15">
        <f>Balance_Sheet!D20/199.19</f>
        <v>3.2977513378570213</v>
      </c>
      <c r="E26" s="15">
        <f>Balance_Sheet!E20/199.19</f>
        <v>3.9721500983582945</v>
      </c>
      <c r="F26" s="15">
        <f>Balance_Sheet!F20/199.19</f>
        <v>4.630774241580141</v>
      </c>
      <c r="G26" s="15">
        <f>Balance_Sheet!G20/199.19</f>
        <v>5.282704802086307</v>
      </c>
      <c r="H26" s="8" t="inlineStr">
        <is>
          <t>debt securities stood at 199.19 at 30-Jun-2026, 1.6% of drawn debt; this row states how far that new channel would have to scale to carry the requirement</t>
        </is>
      </c>
    </row>
    <row r="27">
      <c r="B27" s="5" t="inlineStr">
        <is>
          <t>RATED LIMITS versus DRAWN DEBT</t>
        </is>
      </c>
    </row>
    <row r="28">
      <c r="B28" s="6" t="inlineStr">
        <is>
          <t>ICRA rated limits</t>
        </is>
      </c>
      <c r="C28" s="10" t="n"/>
      <c r="D28" s="10" t="n"/>
      <c r="E28" s="10" t="n"/>
      <c r="F28" s="10" t="n"/>
      <c r="G28" s="10" t="n"/>
      <c r="H28" s="8" t="inlineStr">
        <is>
          <t>TO BE CONFIRMED BY ISSUER. ICRA rates long-term fund-based term loans, non-convertible debentures and commercial paper (FY2025 AR Note 32.17 and corporate governance report item 18), but no ICRA rated AMOUNT is disclosed in any company document, and no ICRA CORPORATE rationale for this issuer exists in the reference library - the only ICRA file is a SECURITISATION rationale on the PRATHAM 12 2025 trust. A rated limit is a sanctioned facility, never an outstanding balance, and an outstanding must not be substituted for one.</t>
        </is>
      </c>
    </row>
    <row r="29">
      <c r="B29" s="6" t="inlineStr">
        <is>
          <t>Memo - CareEdge published limits, 30-Sep-2025</t>
        </is>
      </c>
      <c r="C29" s="10" t="n"/>
      <c r="D29" s="10" t="n"/>
      <c r="E29" s="10" t="n"/>
      <c r="F29" s="10" t="n"/>
      <c r="G29" s="10" t="n"/>
      <c r="H29" s="8" t="inlineStr">
        <is>
          <t>CARE-published, NOT issuer-confirmed, and NOT ICRA's rated universe: long-term bank facilities Rs 11,145.00 crore (CARE AA-; Stable) and commercial paper Rs 800.00 crore (CARE A1+), both reaffirmed. Carried as a peer-agency cross-reference for Step 14 only. Note that CareEdge's Rs 11,145.00 crore of long-term bank facilities sits against drawn bank borrowings of Rs 10,992.79 crore at 30-Jun-2026 - limits and drawings are different measures and the gap between them is the undrawn headroom.</t>
        </is>
      </c>
    </row>
  </sheetData>
  <mergeCells count="6">
    <mergeCell ref="B27:H27"/>
    <mergeCell ref="B13:H13"/>
    <mergeCell ref="B6:H6"/>
    <mergeCell ref="B24:H24"/>
    <mergeCell ref="B2:H2"/>
    <mergeCell ref="B3:H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2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4" customWidth="1" min="2" max="2"/>
    <col width="15" customWidth="1" min="3" max="3"/>
    <col width="15" customWidth="1" min="4" max="4"/>
    <col width="15" customWidth="1" min="5" max="5"/>
    <col width="15" customWidth="1" min="6" max="6"/>
    <col width="15" customWidth="1" min="7" max="7"/>
    <col width="86" customWidth="1" min="8" max="8"/>
  </cols>
  <sheetData>
    <row r="2">
      <c r="B2" s="1" t="inlineStr">
        <is>
          <t>Stress case - the three variables ICRA's NBFC methodology names</t>
        </is>
      </c>
    </row>
    <row r="3" ht="48" customHeight="1">
      <c r="B3" s="2" t="inlineStr">
        <is>
          <t>Asset quality, spread and growth are flexed together; capital and gearing are read off the result. The stress is calibrated to the company's OWN history rather than to an abstract percentage: in FY2022 the impairment charge was 233.06 on an average book of about 11,525, i.e. 2.02%, with gross NPA at 7.0% and disbursements falling from 2,627 to 1,769 over two years.</t>
        </is>
      </c>
    </row>
    <row r="5">
      <c r="B5" s="3" t="inlineStr">
        <is>
          <t>Line</t>
        </is>
      </c>
      <c r="C5" s="4" t="inlineStr">
        <is>
          <t>FY2027E</t>
        </is>
      </c>
      <c r="D5" s="4" t="inlineStr">
        <is>
          <t>FY2028E</t>
        </is>
      </c>
      <c r="E5" s="4" t="inlineStr">
        <is>
          <t>FY2029E</t>
        </is>
      </c>
      <c r="F5" s="4" t="inlineStr">
        <is>
          <t>FY2030E</t>
        </is>
      </c>
      <c r="G5" s="4" t="inlineStr">
        <is>
          <t>FY2031E</t>
        </is>
      </c>
      <c r="H5" s="3" t="inlineStr">
        <is>
          <t>Derivation / source</t>
        </is>
      </c>
    </row>
    <row r="6">
      <c r="B6" s="6" t="inlineStr">
        <is>
          <t>Stress credit cost (% of average AUM)</t>
        </is>
      </c>
      <c r="C6" s="9" t="n">
        <v>1</v>
      </c>
      <c r="D6" s="9" t="n">
        <v>1</v>
      </c>
      <c r="E6" s="9" t="n">
        <v>1</v>
      </c>
      <c r="F6" s="9" t="n">
        <v>1</v>
      </c>
      <c r="G6" s="9" t="n">
        <v>1</v>
      </c>
      <c r="H6" s="8" t="inlineStr">
        <is>
          <t>half the FY2022 peak of 2.02%, but sustained for five years rather than one - a prolonged moderate stress is harder for a lender to absorb than a single sharp one, because provisions cannot be released to offset it</t>
        </is>
      </c>
    </row>
    <row r="7">
      <c r="B7" s="6" t="inlineStr">
        <is>
          <t>Spread compression (bps off net interest income)</t>
        </is>
      </c>
      <c r="C7" s="16" t="n">
        <v>75</v>
      </c>
      <c r="D7" s="16" t="n">
        <v>75</v>
      </c>
      <c r="E7" s="16" t="n">
        <v>75</v>
      </c>
      <c r="F7" s="16" t="n">
        <v>75</v>
      </c>
      <c r="G7" s="16" t="n">
        <v>75</v>
      </c>
      <c r="H7" s="8" t="inlineStr">
        <is>
          <t>75bps: the cost of funds rose 170bps between FY2023 and FY2025 (7.15% to 8.85%) while the yield rose 139bps, so the spread compressed 31bps in two years with no market stress at all. A lender funded almost entirely by banks cannot reprice its liabilities away from a rate shock.</t>
        </is>
      </c>
    </row>
    <row r="8">
      <c r="B8" s="6" t="inlineStr">
        <is>
          <t>Disbursements held flat at the FY2025 actual (Rs cr)</t>
        </is>
      </c>
      <c r="C8" s="7" t="n">
        <v>3284</v>
      </c>
      <c r="D8" s="7" t="n">
        <v>3284</v>
      </c>
      <c r="E8" s="7" t="n">
        <v>3284</v>
      </c>
      <c r="F8" s="7" t="n">
        <v>3284</v>
      </c>
      <c r="G8" s="7" t="n">
        <v>3284</v>
      </c>
      <c r="H8" s="8" t="inlineStr">
        <is>
          <t>zero growth for five years, against the FY2021-FY2022 experience when disbursements fell from 2,627 to 1,841 to 1,769 - a 33% cumulative decline</t>
        </is>
      </c>
    </row>
    <row r="10">
      <c r="B10" s="6" t="inlineStr">
        <is>
          <t>Opening AUM</t>
        </is>
      </c>
      <c r="C10" s="10" t="n">
        <v>15708.23</v>
      </c>
      <c r="D10" s="10">
        <f>C13</f>
        <v>16321.8309</v>
      </c>
      <c r="E10" s="10">
        <f>D13</f>
        <v>16831.119647</v>
      </c>
      <c r="F10" s="10">
        <f>E13</f>
        <v>17253.82930701</v>
      </c>
      <c r="G10" s="10">
        <f>F13</f>
        <v>17604.678324818302</v>
      </c>
      <c r="H10" s="8" t="inlineStr"/>
    </row>
    <row r="11">
      <c r="B11" s="6" t="inlineStr">
        <is>
          <t>Disbursements</t>
        </is>
      </c>
      <c r="C11" s="10">
        <f>C8</f>
        <v>3284.0</v>
      </c>
      <c r="D11" s="10">
        <f>D8</f>
        <v>3284.0</v>
      </c>
      <c r="E11" s="10">
        <f>E8</f>
        <v>3284.0</v>
      </c>
      <c r="F11" s="10">
        <f>F8</f>
        <v>3284.0</v>
      </c>
      <c r="G11" s="10">
        <f>G8</f>
        <v>3284.0</v>
      </c>
      <c r="H11" s="8" t="inlineStr">
        <is>
          <t>held flat</t>
        </is>
      </c>
    </row>
    <row r="12">
      <c r="B12" s="6" t="inlineStr">
        <is>
          <t>Less: run-off</t>
        </is>
      </c>
      <c r="C12" s="10">
        <f>-C10*Assumptions!C8/100</f>
        <v>-2670.3990999999996</v>
      </c>
      <c r="D12" s="10">
        <f>-D10*Assumptions!D8/100</f>
        <v>-2774.711253</v>
      </c>
      <c r="E12" s="10">
        <f>-E10*Assumptions!E8/100</f>
        <v>-2861.2903399899997</v>
      </c>
      <c r="F12" s="10">
        <f>-F10*Assumptions!F8/100</f>
        <v>-2933.1509821917</v>
      </c>
      <c r="G12" s="10">
        <f>-G10*Assumptions!G8/100</f>
        <v>-2992.7953152191117</v>
      </c>
      <c r="H12" s="8" t="inlineStr">
        <is>
          <t>same run-off rate as the base case</t>
        </is>
      </c>
    </row>
    <row r="13">
      <c r="B13" s="11" t="inlineStr">
        <is>
          <t>Closing AUM</t>
        </is>
      </c>
      <c r="C13" s="12">
        <f>SUM(C10:C12)</f>
        <v>16321.8309</v>
      </c>
      <c r="D13" s="12">
        <f>SUM(D10:D12)</f>
        <v>16831.119647</v>
      </c>
      <c r="E13" s="12">
        <f>SUM(E10:E12)</f>
        <v>17253.82930701</v>
      </c>
      <c r="F13" s="12">
        <f>SUM(F10:F12)</f>
        <v>17604.678324818302</v>
      </c>
      <c r="G13" s="12">
        <f>SUM(G10:G12)</f>
        <v>17895.88300959919</v>
      </c>
      <c r="H13" s="8" t="inlineStr"/>
    </row>
    <row r="14">
      <c r="B14" s="6" t="inlineStr">
        <is>
          <t>Average AUM</t>
        </is>
      </c>
      <c r="C14" s="10">
        <f>(C10+C13)/2</f>
        <v>16015.03045</v>
      </c>
      <c r="D14" s="10">
        <f>(D10+D13)/2</f>
        <v>16576.4752735</v>
      </c>
      <c r="E14" s="10">
        <f>(E10+E13)/2</f>
        <v>17042.474477005002</v>
      </c>
      <c r="F14" s="10">
        <f>(F10+F13)/2</f>
        <v>17429.25381591415</v>
      </c>
      <c r="G14" s="10">
        <f>(G10+G13)/2</f>
        <v>17750.280667208746</v>
      </c>
      <c r="H14" s="8" t="inlineStr"/>
    </row>
    <row r="15">
      <c r="B15" s="6" t="inlineStr">
        <is>
          <t>Net interest income</t>
        </is>
      </c>
      <c r="C15" s="10">
        <f>P_and_L!C10*C14/Book_Build!C10-C14*C7/10000</f>
        <v>787.9566199755575</v>
      </c>
      <c r="D15" s="10">
        <f>P_and_L!D10*D14/Book_Build!D10-D14*D7/10000</f>
        <v>835.9943472179284</v>
      </c>
      <c r="E15" s="10">
        <f>P_and_L!E10*E14/Book_Build!E10-E14*E7/10000</f>
        <v>867.1751567737937</v>
      </c>
      <c r="F15" s="10">
        <f>P_and_L!F10*F14/Book_Build!F10-F14*F7/10000</f>
        <v>900.3291272419624</v>
      </c>
      <c r="G15" s="10">
        <f>P_and_L!G10*G14/Book_Build!G10-G14*G7/10000</f>
        <v>928.1957093850225</v>
      </c>
      <c r="H15" s="8" t="inlineStr">
        <is>
          <t>base-case NII scaled to the smaller stress book, then the spread compression applied to that book</t>
        </is>
      </c>
    </row>
    <row r="16">
      <c r="B16" s="6" t="inlineStr">
        <is>
          <t>Operating expenses</t>
        </is>
      </c>
      <c r="C16" s="10">
        <f>P_and_L!C11</f>
        <v>-253.92466824365482</v>
      </c>
      <c r="D16" s="10">
        <f>P_and_L!D11</f>
        <v>-271.2467144005584</v>
      </c>
      <c r="E16" s="10">
        <f>P_and_L!E11</f>
        <v>-291.6706948486061</v>
      </c>
      <c r="F16" s="10">
        <f>P_and_L!F11</f>
        <v>-314.99753615194857</v>
      </c>
      <c r="G16" s="10">
        <f>P_and_L!G11</f>
        <v>-339.1672367320057</v>
      </c>
      <c r="H16" s="8" t="inlineStr">
        <is>
          <t>held at the base case - a lender cannot shrink its branch network in step with a demand shock, which is exactly what makes operating leverage cut both ways</t>
        </is>
      </c>
    </row>
    <row r="17">
      <c r="B17" s="11" t="inlineStr">
        <is>
          <t>Pre-provision operating profit</t>
        </is>
      </c>
      <c r="C17" s="12">
        <f>C15+C16</f>
        <v>534.0319517319026</v>
      </c>
      <c r="D17" s="12">
        <f>D15+D16</f>
        <v>564.74763281737</v>
      </c>
      <c r="E17" s="12">
        <f>E15+E16</f>
        <v>575.5044619251876</v>
      </c>
      <c r="F17" s="12">
        <f>F15+F16</f>
        <v>585.3315910900138</v>
      </c>
      <c r="G17" s="12">
        <f>G15+G16</f>
        <v>589.0284726530168</v>
      </c>
      <c r="H17" s="8" t="inlineStr"/>
    </row>
    <row r="18">
      <c r="B18" s="6" t="inlineStr">
        <is>
          <t>Credit cost</t>
        </is>
      </c>
      <c r="C18" s="10">
        <f>-C14*C6/100</f>
        <v>-160.1503045</v>
      </c>
      <c r="D18" s="10">
        <f>-D14*D6/100</f>
        <v>-165.764752735</v>
      </c>
      <c r="E18" s="10">
        <f>-E14*E6/100</f>
        <v>-170.42474477005</v>
      </c>
      <c r="F18" s="10">
        <f>-F14*F6/100</f>
        <v>-174.29253815914151</v>
      </c>
      <c r="G18" s="10">
        <f>-G14*G6/100</f>
        <v>-177.50280667208747</v>
      </c>
      <c r="H18" s="8" t="inlineStr"/>
    </row>
    <row r="19">
      <c r="B19" s="11" t="inlineStr">
        <is>
          <t>Profit before tax</t>
        </is>
      </c>
      <c r="C19" s="12">
        <f>C17+C18</f>
        <v>373.8816472319026</v>
      </c>
      <c r="D19" s="12">
        <f>D17+D18</f>
        <v>398.98288008237</v>
      </c>
      <c r="E19" s="12">
        <f>E17+E18</f>
        <v>405.0797171551376</v>
      </c>
      <c r="F19" s="12">
        <f>F17+F18</f>
        <v>411.03905293087234</v>
      </c>
      <c r="G19" s="12">
        <f>G17+G18</f>
        <v>411.5256659809294</v>
      </c>
      <c r="H19" s="8" t="inlineStr"/>
    </row>
    <row r="20">
      <c r="B20" s="11" t="inlineStr">
        <is>
          <t>Profit after tax</t>
        </is>
      </c>
      <c r="C20" s="12">
        <f>IF(C19&gt;0,C19*(1-Assumptions!C15/100),C19)</f>
        <v>279.6634721294632</v>
      </c>
      <c r="D20" s="12">
        <f>IF(D19&gt;0,D19*(1-Assumptions!D15/100),D19)</f>
        <v>298.43919430161276</v>
      </c>
      <c r="E20" s="12">
        <f>IF(E19&gt;0,E19*(1-Assumptions!E15/100),E19)</f>
        <v>302.9996284320429</v>
      </c>
      <c r="F20" s="12">
        <f>IF(F19&gt;0,F19*(1-Assumptions!F15/100),F19)</f>
        <v>307.45721159229254</v>
      </c>
      <c r="G20" s="12">
        <f>IF(G19&gt;0,G19*(1-Assumptions!G15/100),G19)</f>
        <v>307.82119815373517</v>
      </c>
      <c r="H20" s="8" t="inlineStr">
        <is>
          <t>no tax shield assumed on a loss</t>
        </is>
      </c>
    </row>
    <row r="21">
      <c r="B21" s="6" t="inlineStr">
        <is>
          <t>Opening net worth</t>
        </is>
      </c>
      <c r="C21" s="10" t="n">
        <v>4018.65</v>
      </c>
      <c r="D21" s="10">
        <f>C23</f>
        <v>4275.940394359106</v>
      </c>
      <c r="E21" s="10">
        <f>D23</f>
        <v>4550.5044531165895</v>
      </c>
      <c r="F21" s="10">
        <f>E23</f>
        <v>4829.264111274069</v>
      </c>
      <c r="G21" s="10">
        <f>F23</f>
        <v>5112.124745938979</v>
      </c>
      <c r="H21" s="8" t="inlineStr"/>
    </row>
    <row r="22">
      <c r="B22" s="6" t="inlineStr">
        <is>
          <t>Retained earnings</t>
        </is>
      </c>
      <c r="C22" s="10">
        <f>C20*(1-Assumptions!C16/100)</f>
        <v>257.29039435910613</v>
      </c>
      <c r="D22" s="10">
        <f>D20*(1-Assumptions!D16/100)</f>
        <v>274.56405875748374</v>
      </c>
      <c r="E22" s="10">
        <f>E20*(1-Assumptions!E16/100)</f>
        <v>278.7596581574795</v>
      </c>
      <c r="F22" s="10">
        <f>F20*(1-Assumptions!F16/100)</f>
        <v>282.8606346649091</v>
      </c>
      <c r="G22" s="10">
        <f>G20*(1-Assumptions!G16/100)</f>
        <v>283.19550230143636</v>
      </c>
      <c r="H22" s="8" t="inlineStr"/>
    </row>
    <row r="23">
      <c r="B23" s="11" t="inlineStr">
        <is>
          <t>Closing net worth</t>
        </is>
      </c>
      <c r="C23" s="12">
        <f>C21+C22</f>
        <v>4275.940394359106</v>
      </c>
      <c r="D23" s="12">
        <f>D21+D22</f>
        <v>4550.5044531165895</v>
      </c>
      <c r="E23" s="12">
        <f>E21+E22</f>
        <v>4829.264111274069</v>
      </c>
      <c r="F23" s="12">
        <f>F21+F22</f>
        <v>5112.124745938979</v>
      </c>
      <c r="G23" s="12">
        <f>G21+G22</f>
        <v>5395.320248240415</v>
      </c>
      <c r="H23" s="8" t="inlineStr"/>
    </row>
    <row r="24">
      <c r="B24" s="6" t="inlineStr">
        <is>
          <t>Total assets implied</t>
        </is>
      </c>
      <c r="C24" s="10">
        <f>(C13+Assumptions!C20)/(1-Assumptions!C18/100)</f>
        <v>16844.498375634517</v>
      </c>
      <c r="D24" s="10">
        <f>(D13+Assumptions!D20)/(1-Assumptions!D18/100)</f>
        <v>17375.75598680203</v>
      </c>
      <c r="E24" s="10">
        <f>(E13+Assumptions!E20)/(1-Assumptions!E18/100)</f>
        <v>17819.11604772589</v>
      </c>
      <c r="F24" s="10">
        <f>(F13+Assumptions!F20)/(1-Assumptions!F18/100)</f>
        <v>18190.53637037391</v>
      </c>
      <c r="G24" s="10">
        <f>(G13+Assumptions!G20)/(1-Assumptions!G18/100)</f>
        <v>18502.41929908547</v>
      </c>
      <c r="H24" s="8" t="inlineStr"/>
    </row>
    <row r="25">
      <c r="B25" s="11" t="inlineStr">
        <is>
          <t>Total debt implied</t>
        </is>
      </c>
      <c r="C25" s="12">
        <f>C24-C23-C24*Assumptions!C19/100</f>
        <v>12416.957495894701</v>
      </c>
      <c r="D25" s="12">
        <f>D24-D23-D24*Assumptions!D19/100</f>
        <v>12668.86972980422</v>
      </c>
      <c r="E25" s="12">
        <f>E24-E23-E24*Assumptions!E19/100</f>
        <v>12829.479892022287</v>
      </c>
      <c r="F25" s="12">
        <f>F24-F23-F24*Assumptions!F19/100</f>
        <v>12914.696797101566</v>
      </c>
      <c r="G25" s="12">
        <f>G24-G23-G24*Assumptions!G19/100</f>
        <v>12940.577277153287</v>
      </c>
      <c r="H25" s="8" t="inlineStr"/>
    </row>
    <row r="26">
      <c r="B26" s="11" t="inlineStr">
        <is>
          <t>Gearing in stress (times)</t>
        </is>
      </c>
      <c r="C26" s="14">
        <f>C25/C23</f>
        <v>2.9039126719996764</v>
      </c>
      <c r="D26" s="14">
        <f>D25/D23</f>
        <v>2.784058308332707</v>
      </c>
      <c r="E26" s="14">
        <f>E25/E23</f>
        <v>2.656611772810574</v>
      </c>
      <c r="F26" s="14">
        <f>F25/F23</f>
        <v>2.5262874908052417</v>
      </c>
      <c r="G26" s="14">
        <f>G25/G23</f>
        <v>2.3984817734171795</v>
      </c>
      <c r="H26" s="8" t="inlineStr">
        <is>
          <t>against CareEdge's downgrade trigger of 5x sustained and the regulatory ceiling of 12x net owned funds</t>
        </is>
      </c>
    </row>
    <row r="27">
      <c r="B27" s="11" t="inlineStr">
        <is>
          <t>CRAR in stress (%) - indicative</t>
        </is>
      </c>
      <c r="C27" s="14">
        <f>100*(C23-Assumptions!C20)/(C13*Assumptions!C21/100)</f>
        <v>39.33245180852467</v>
      </c>
      <c r="D27" s="14">
        <f>100*(D23-Assumptions!D20)/(D13*Assumptions!D21/100)</f>
        <v>40.6232444626061</v>
      </c>
      <c r="E27" s="14">
        <f>100*(E23-Assumptions!E20)/(E13*Assumptions!E21/100)</f>
        <v>42.08712787609732</v>
      </c>
      <c r="F27" s="14">
        <f>100*(F23-Assumptions!F20)/(F13*Assumptions!F21/100)</f>
        <v>43.68671156420153</v>
      </c>
      <c r="G27" s="14">
        <f>100*(G23-Assumptions!G20)/(G13*Assumptions!G21/100)</f>
        <v>45.36855184831465</v>
      </c>
      <c r="H27" s="8" t="inlineStr">
        <is>
          <t>against the 15% regulatory minimum</t>
        </is>
      </c>
    </row>
    <row r="28">
      <c r="B28" s="11" t="inlineStr">
        <is>
          <t>Return on average assets in stress (%)</t>
        </is>
      </c>
      <c r="C28" s="14">
        <f>100*C20/C24</f>
        <v>1.6602659568301243</v>
      </c>
      <c r="D28" s="14">
        <f>100*D20/D24</f>
        <v>1.7175609195265862</v>
      </c>
      <c r="E28" s="14">
        <f>100*E20/E24</f>
        <v>1.700418963659605</v>
      </c>
      <c r="F28" s="14">
        <f>100*F20/F24</f>
        <v>1.6902042102124817</v>
      </c>
      <c r="G28" s="14">
        <f>100*G20/G24</f>
        <v>1.6636808039959943</v>
      </c>
      <c r="H28" s="8" t="inlineStr">
        <is>
          <t>against CareEdge's downgrade trigger of a sustained 2.00%</t>
        </is>
      </c>
    </row>
  </sheetData>
  <mergeCells count="2">
    <mergeCell ref="B3:H3"/>
    <mergeCell ref="B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2026-08-24T00:31:34Z</dcterms:created>
  <dcterms:modified xmlns:dcterms="http://purl.org/dc/terms/" xmlns:xsi="http://www.w3.org/2001/XMLSchema-instance" xsi:type="dcterms:W3CDTF">2026-08-24T00:31:34Z</dcterms:modified>
</cp:coreProperties>
</file>