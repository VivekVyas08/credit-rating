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RatioSuite" sheetId="2" state="visible" r:id="rId2"/>
    <sheet xmlns:r="http://schemas.openxmlformats.org/officeDocument/2006/relationships" name="TieOut" sheetId="3" state="visible" r:id="rId3"/>
    <sheet xmlns:r="http://schemas.openxmlformats.org/officeDocument/2006/relationships" name="RatingScore" sheetId="4" state="visible" r:id="rId4"/>
  </sheets>
  <definedNames/>
  <calcPr calcId="999999" fullCalcOnLoad="1"/>
</workbook>
</file>

<file path=xl/styles.xml><?xml version="1.0" encoding="utf-8"?>
<styleSheet xmlns="http://schemas.openxmlformats.org/spreadsheetml/2006/main">
  <numFmts count="3">
    <numFmt numFmtId="164" formatCode="#,##0.0"/>
    <numFmt numFmtId="165" formatCode="0.00&quot;x&quot;"/>
    <numFmt numFmtId="166" formatCode="0.0%"/>
  </numFmts>
  <fonts count="7">
    <font>
      <name val="Calibri"/>
      <family val="2"/>
      <color theme="1"/>
      <sz val="11"/>
      <scheme val="minor"/>
    </font>
    <font>
      <b val="1"/>
      <color rgb="001B2A4A"/>
      <sz val="13"/>
    </font>
    <font>
      <i val="1"/>
      <color rgb="00666666"/>
      <sz val="9"/>
    </font>
    <font>
      <b val="1"/>
      <color rgb="00FFFFFF"/>
    </font>
    <font>
      <b val="1"/>
    </font>
    <font/>
    <font>
      <b val="1"/>
      <color rgb="000E7C86"/>
    </font>
  </fonts>
  <fills count="4">
    <fill>
      <patternFill/>
    </fill>
    <fill>
      <patternFill patternType="gray125"/>
    </fill>
    <fill>
      <patternFill patternType="solid">
        <fgColor rgb="001B2A4A"/>
      </patternFill>
    </fill>
    <fill>
      <patternFill patternType="solid">
        <fgColor rgb="00FFF9E6"/>
      </patternFill>
    </fill>
  </fills>
  <borders count="2">
    <border>
      <left/>
      <right/>
      <top/>
      <bottom/>
      <diagonal/>
    </border>
    <border>
      <left style="thin">
        <color rgb="00D6DEE8"/>
      </left>
      <right style="thin">
        <color rgb="00D6DEE8"/>
      </right>
      <top style="thin">
        <color rgb="00D6DEE8"/>
      </top>
      <bottom style="thin">
        <color rgb="00D6DEE8"/>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wrapText="1"/>
    </xf>
    <xf numFmtId="0" fontId="0" fillId="0" borderId="1" pivotButton="0" quotePrefix="0" xfId="0"/>
    <xf numFmtId="164" fontId="0" fillId="3" borderId="1" pivotButton="0" quotePrefix="0" xfId="0"/>
    <xf numFmtId="0" fontId="2" fillId="0" borderId="1" applyAlignment="1" pivotButton="0" quotePrefix="0" xfId="0">
      <alignment vertical="top" wrapText="1"/>
    </xf>
    <xf numFmtId="4" fontId="0" fillId="0" borderId="1" pivotButton="0" quotePrefix="0" xfId="0"/>
    <xf numFmtId="165" fontId="0" fillId="0" borderId="1" pivotButton="0" quotePrefix="0" xfId="0"/>
    <xf numFmtId="10" fontId="0" fillId="0" borderId="1" pivotButton="0" quotePrefix="0" xfId="0"/>
    <xf numFmtId="166" fontId="0" fillId="0" borderId="1" pivotButton="0" quotePrefix="0" xfId="0"/>
    <xf numFmtId="3" fontId="0" fillId="0" borderId="1" pivotButton="0" quotePrefix="0" xfId="0"/>
    <xf numFmtId="0" fontId="4" fillId="0" borderId="1" applyAlignment="1" pivotButton="0" quotePrefix="0" xfId="0">
      <alignment horizontal="center"/>
    </xf>
    <xf numFmtId="0" fontId="2" fillId="0" borderId="0" pivotButton="0" quotePrefix="0" xfId="0"/>
    <xf numFmtId="0" fontId="0" fillId="3" borderId="1" applyAlignment="1" pivotButton="0" quotePrefix="0" xfId="0">
      <alignment horizontal="center"/>
    </xf>
    <xf numFmtId="9" fontId="0" fillId="3" borderId="1" pivotButton="0" quotePrefix="0" xfId="0"/>
    <xf numFmtId="2" fontId="0" fillId="0" borderId="1" pivotButton="0" quotePrefix="0" xfId="0"/>
    <xf numFmtId="0" fontId="4" fillId="0" borderId="0" pivotButton="0" quotePrefix="0" xfId="0"/>
    <xf numFmtId="9" fontId="4" fillId="0" borderId="0" pivotButton="0" quotePrefix="0" xfId="0"/>
    <xf numFmtId="2"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3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46" customWidth="1" min="2" max="2"/>
    <col width="14" customWidth="1" min="3" max="3"/>
    <col width="14" customWidth="1" min="4" max="4"/>
    <col width="14" customWidth="1" min="5" max="5"/>
    <col width="64" customWidth="1" min="6" max="6"/>
  </cols>
  <sheetData>
    <row r="2">
      <c r="B2" s="1" t="inlineStr">
        <is>
          <t>HDFC Securities Limited - extracted line items (Standalone, Rs crore)</t>
        </is>
      </c>
    </row>
    <row r="3" ht="42" customHeight="1">
      <c r="B3" s="2" t="inlineStr">
        <is>
          <t>Yellow cells are EXTRACTED INPUTS traced to the source in the final column - nothing here is computed. Every downstream ratio references this sheet, so correcting a value here reflows the entire workbook.</t>
        </is>
      </c>
    </row>
    <row r="5">
      <c r="B5" s="3" t="inlineStr">
        <is>
          <t>Line item</t>
        </is>
      </c>
      <c r="C5" s="3" t="inlineStr">
        <is>
          <t>FY2025</t>
        </is>
      </c>
      <c r="D5" s="3" t="inlineStr">
        <is>
          <t>FY2026</t>
        </is>
      </c>
      <c r="E5" s="3" t="inlineStr">
        <is>
          <t>Q1FY2027</t>
        </is>
      </c>
      <c r="F5" s="3" t="inlineStr">
        <is>
          <t>Source</t>
        </is>
      </c>
    </row>
    <row r="6">
      <c r="B6" s="4" t="inlineStr">
        <is>
          <t>RATED: commercial paper limit</t>
        </is>
      </c>
      <c r="C6" s="5" t="n">
        <v>18000</v>
      </c>
      <c r="D6" s="5" t="n">
        <v>20000</v>
      </c>
      <c r="E6" s="5" t="n">
        <v>20000</v>
      </c>
      <c r="F6" s="6" t="inlineStr">
        <is>
          <t>CareEdge press release 20-Aug-2026 (operator-supplied) header table - enhanced from Rs 18,000.00 cr. NOT an outstanding balance</t>
        </is>
      </c>
    </row>
    <row r="7">
      <c r="B7" s="4" t="inlineStr">
        <is>
          <t>RATED: LT/ST bank facilities limit</t>
        </is>
      </c>
      <c r="C7" s="5" t="n">
        <v>3000</v>
      </c>
      <c r="D7" s="5" t="n">
        <v>3000</v>
      </c>
      <c r="E7" s="5" t="n">
        <v>3000</v>
      </c>
      <c r="F7" s="6" t="inlineStr">
        <is>
          <t>CareEdge press release 20-Aug-2026 (operator-supplied) header table - CARE AAA; Stable / CARE A1+, Reaffirmed</t>
        </is>
      </c>
    </row>
    <row r="8">
      <c r="B8" s="4" t="inlineStr">
        <is>
          <t>Total income</t>
        </is>
      </c>
      <c r="C8" s="5" t="n">
        <v>3264.86</v>
      </c>
      <c r="D8" s="5" t="n">
        <v>3110.15</v>
      </c>
      <c r="E8" s="5" t="n">
        <v>950.03</v>
      </c>
      <c r="F8" s="6" t="inlineStr">
        <is>
          <t>FY2026 annual report (04-08-2026) P&amp;L L3115</t>
        </is>
      </c>
    </row>
    <row r="9">
      <c r="B9" s="4" t="inlineStr">
        <is>
          <t>Total expenses</t>
        </is>
      </c>
      <c r="C9" s="5" t="n">
        <v>1768.71</v>
      </c>
      <c r="D9" s="5" t="n">
        <v>1873.09</v>
      </c>
      <c r="E9" s="5" t="n"/>
      <c r="F9" s="6" t="inlineStr">
        <is>
          <t>FY2026 annual report (04-08-2026) P&amp;L L3122</t>
        </is>
      </c>
    </row>
    <row r="10">
      <c r="B10" s="4" t="inlineStr">
        <is>
          <t>Finance costs</t>
        </is>
      </c>
      <c r="C10" s="5" t="n">
        <v>785.45</v>
      </c>
      <c r="D10" s="5" t="n">
        <v>817.4</v>
      </c>
      <c r="E10" s="5" t="n"/>
      <c r="F10" s="6" t="inlineStr">
        <is>
          <t>FY2026 annual report (04-08-2026) P&amp;L L3117</t>
        </is>
      </c>
    </row>
    <row r="11">
      <c r="B11" s="4" t="inlineStr">
        <is>
          <t>Profit after tax</t>
        </is>
      </c>
      <c r="C11" s="5" t="n">
        <v>1125</v>
      </c>
      <c r="D11" s="5" t="n">
        <v>929.9</v>
      </c>
      <c r="E11" s="5" t="n">
        <v>297.06</v>
      </c>
      <c r="F11" s="6" t="inlineStr">
        <is>
          <t>FY2026 annual report (04-08-2026) / Q1 results</t>
        </is>
      </c>
    </row>
    <row r="12">
      <c r="B12" s="4" t="inlineStr">
        <is>
          <t>Interest income</t>
        </is>
      </c>
      <c r="C12" s="5" t="n">
        <v>1418.34</v>
      </c>
      <c r="D12" s="5" t="n">
        <v>1497.93</v>
      </c>
      <c r="E12" s="5" t="n"/>
      <c r="F12" s="6" t="inlineStr">
        <is>
          <t>FY2026 annual report (04-08-2026) P&amp;L L3107</t>
        </is>
      </c>
    </row>
    <row r="13">
      <c r="B13" s="4" t="inlineStr">
        <is>
          <t>Fees and commission income</t>
        </is>
      </c>
      <c r="C13" s="5" t="n">
        <v>1744.2</v>
      </c>
      <c r="D13" s="5" t="n">
        <v>1515.83</v>
      </c>
      <c r="E13" s="5" t="n"/>
      <c r="F13" s="6" t="inlineStr">
        <is>
          <t>FY2026 annual report (04-08-2026) P&amp;L</t>
        </is>
      </c>
    </row>
    <row r="14">
      <c r="B14" s="4" t="inlineStr">
        <is>
          <t>Brokerage income</t>
        </is>
      </c>
      <c r="C14" s="5" t="n">
        <v>1259.55</v>
      </c>
      <c r="D14" s="5" t="n">
        <v>1012.19</v>
      </c>
      <c r="E14" s="5" t="n"/>
      <c r="F14" s="6" t="inlineStr">
        <is>
          <t>FY2026 annual report (04-08-2026) note L5090</t>
        </is>
      </c>
    </row>
    <row r="15">
      <c r="B15" s="4" t="inlineStr">
        <is>
          <t>Dividend (interim + final)</t>
        </is>
      </c>
      <c r="C15" s="5" t="n">
        <v>898.3</v>
      </c>
      <c r="D15" s="5" t="n">
        <v>740.1</v>
      </c>
      <c r="E15" s="5" t="n"/>
      <c r="F15" s="6" t="inlineStr">
        <is>
          <t>FY2026 annual report (04-08-2026) appropriation</t>
        </is>
      </c>
    </row>
    <row r="16">
      <c r="B16" s="4" t="inlineStr">
        <is>
          <t>Total equity</t>
        </is>
      </c>
      <c r="C16" s="5" t="n">
        <v>3348.59</v>
      </c>
      <c r="D16" s="5" t="n">
        <v>3595.92</v>
      </c>
      <c r="E16" s="5" t="n"/>
      <c r="F16" s="6" t="inlineStr">
        <is>
          <t>FY2026 annual report (04-08-2026) L6633</t>
        </is>
      </c>
    </row>
    <row r="17">
      <c r="B17" s="4" t="inlineStr">
        <is>
          <t>less: deferred tax assets</t>
        </is>
      </c>
      <c r="C17" s="5" t="n">
        <v>0.52</v>
      </c>
      <c r="D17" s="5" t="n">
        <v>15.57</v>
      </c>
      <c r="E17" s="5" t="n"/>
      <c r="F17" s="6" t="inlineStr">
        <is>
          <t>FY2026 annual report (04-08-2026) BS L3033</t>
        </is>
      </c>
    </row>
    <row r="18">
      <c r="B18" s="4" t="inlineStr">
        <is>
          <t>less: other intangible assets</t>
        </is>
      </c>
      <c r="C18" s="5" t="n">
        <v>84.23999999999999</v>
      </c>
      <c r="D18" s="5" t="n">
        <v>78.23</v>
      </c>
      <c r="E18" s="5" t="n"/>
      <c r="F18" s="6" t="inlineStr">
        <is>
          <t>FY2026 annual report (04-08-2026) BS L3038</t>
        </is>
      </c>
    </row>
    <row r="19">
      <c r="B19" s="4" t="inlineStr">
        <is>
          <t>less: intangibles under development</t>
        </is>
      </c>
      <c r="C19" s="5" t="n">
        <v>7.32</v>
      </c>
      <c r="D19" s="5" t="n">
        <v>5.63</v>
      </c>
      <c r="E19" s="5" t="n"/>
      <c r="F19" s="6" t="inlineStr">
        <is>
          <t>FY2026 annual report (04-08-2026) BS L3037</t>
        </is>
      </c>
    </row>
    <row r="20">
      <c r="B20" s="4" t="inlineStr">
        <is>
          <t>TANGIBLE NET WORTH (published)</t>
        </is>
      </c>
      <c r="C20" s="5" t="n">
        <v>3257</v>
      </c>
      <c r="D20" s="5" t="n">
        <v>3496</v>
      </c>
      <c r="E20" s="5" t="n">
        <v>3647</v>
      </c>
      <c r="F20" s="6" t="inlineStr">
        <is>
          <t>CareEdge press release 20-Aug-2026 (operator-supplied) Brief Financials - reproduced exactly by the build-up above</t>
        </is>
      </c>
    </row>
    <row r="21">
      <c r="B21" s="4" t="inlineStr">
        <is>
          <t>Debt securities (commercial paper)</t>
        </is>
      </c>
      <c r="C21" s="5" t="n">
        <v>7741.52</v>
      </c>
      <c r="D21" s="5" t="n">
        <v>12931.33</v>
      </c>
      <c r="E21" s="5" t="n">
        <v>15765</v>
      </c>
      <c r="F21" s="6" t="inlineStr">
        <is>
          <t>FY2026 annual report (04-08-2026) BS / CareEdge press release 20-Aug-2026 (operator-supplied)</t>
        </is>
      </c>
    </row>
    <row r="22">
      <c r="B22" s="4" t="inlineStr">
        <is>
          <t>Borrowings other than debt secs (TREPS)</t>
        </is>
      </c>
      <c r="C22" s="5" t="n">
        <v>202.25</v>
      </c>
      <c r="D22" s="5" t="n">
        <v>2182.55</v>
      </c>
      <c r="E22" s="5" t="n">
        <v>2183</v>
      </c>
      <c r="F22" s="6" t="inlineStr">
        <is>
          <t>FY2026 annual report (04-08-2026) BS / CareEdge press release 20-Aug-2026 (operator-supplied)</t>
        </is>
      </c>
    </row>
    <row r="23">
      <c r="B23" s="4" t="inlineStr">
        <is>
          <t>Loan against deposits</t>
        </is>
      </c>
      <c r="C23" s="5" t="n"/>
      <c r="D23" s="5" t="n"/>
      <c r="E23" s="5" t="n">
        <v>338</v>
      </c>
      <c r="F23" s="6" t="inlineStr">
        <is>
          <t>CareEdge press release 20-Aug-2026 (operator-supplied) liquidity para</t>
        </is>
      </c>
    </row>
    <row r="24">
      <c r="B24" s="4" t="inlineStr">
        <is>
          <t>TOTAL FUND-BASED DEBT</t>
        </is>
      </c>
      <c r="C24" s="5" t="n">
        <v>7943.77</v>
      </c>
      <c r="D24" s="5" t="n">
        <v>15113.88</v>
      </c>
      <c r="E24" s="5" t="n">
        <v>18286</v>
      </c>
      <c r="F24" s="6" t="inlineStr">
        <is>
          <t>FY2026 annual report (04-08-2026) / CareEdge press release 20-Aug-2026 (operator-supplied)</t>
        </is>
      </c>
    </row>
    <row r="25">
      <c r="B25" s="4" t="inlineStr">
        <is>
          <t>Bank guarantees outstanding</t>
        </is>
      </c>
      <c r="C25" s="5" t="n">
        <v>700</v>
      </c>
      <c r="D25" s="5" t="n">
        <v>1100</v>
      </c>
      <c r="E25" s="5" t="n"/>
      <c r="F25" s="6" t="inlineStr">
        <is>
          <t>FY2026 annual report (04-08-2026) CONTINGENT LIABILITIES note L5421 - off balance sheet, and CareEdge counts it in gearing. v1 never extracted this, hence 4.20x against a published 4.64x</t>
        </is>
      </c>
    </row>
    <row r="26">
      <c r="B26" s="4" t="inlineStr">
        <is>
          <t>Total assets</t>
        </is>
      </c>
      <c r="C26" s="5" t="n">
        <v>14031.11</v>
      </c>
      <c r="D26" s="5" t="n">
        <v>21784.33</v>
      </c>
      <c r="E26" s="5" t="n"/>
      <c r="F26" s="6" t="inlineStr">
        <is>
          <t>FY2026 annual report (04-08-2026) BS</t>
        </is>
      </c>
    </row>
    <row r="27">
      <c r="B27" s="4" t="inlineStr">
        <is>
          <t>MTF loan book</t>
        </is>
      </c>
      <c r="C27" s="5" t="n">
        <v>5511.87</v>
      </c>
      <c r="D27" s="5" t="n">
        <v>7132.66</v>
      </c>
      <c r="E27" s="5" t="n">
        <v>10081</v>
      </c>
      <c r="F27" s="6" t="inlineStr">
        <is>
          <t>FY2026 annual report (04-08-2026) BS Loans / CareEdge press release 20-Aug-2026 (operator-supplied) - Rs 10,081 cr as on 30-Jun-2026</t>
        </is>
      </c>
    </row>
    <row r="28">
      <c r="B28" s="4" t="inlineStr">
        <is>
          <t>UNENCUMBERED cash and equivalents</t>
        </is>
      </c>
      <c r="C28" s="5" t="n"/>
      <c r="D28" s="5" t="n"/>
      <c r="E28" s="5" t="n">
        <v>422</v>
      </c>
      <c r="F28" s="6" t="inlineStr">
        <is>
          <t>CareEdge press release 20-Aug-2026 (operator-supplied) liquidity para. NOT the balance-sheet 'bank balance' line of Rs 7,838.73 cr, which is overwhelmingly CLIENT funds and exchange margin</t>
        </is>
      </c>
    </row>
    <row r="29">
      <c r="B29" s="4" t="inlineStr">
        <is>
          <t>Unutilised sanctioned lines</t>
        </is>
      </c>
      <c r="C29" s="5" t="n"/>
      <c r="D29" s="5" t="n"/>
      <c r="E29" s="5" t="n">
        <v>2698</v>
      </c>
      <c r="F29" s="6" t="inlineStr">
        <is>
          <t>CareEdge press release 20-Aug-2026 (operator-supplied) liquidity para</t>
        </is>
      </c>
    </row>
    <row r="30">
      <c r="B30" s="4" t="inlineStr">
        <is>
          <t>Active clients (lakh)</t>
        </is>
      </c>
      <c r="C30" s="5" t="n"/>
      <c r="D30" s="5" t="n"/>
      <c r="E30" s="5" t="n">
        <v>10.05</v>
      </c>
      <c r="F30" s="6" t="inlineStr">
        <is>
          <t>CareEdge press release 20-Aug-2026 (operator-supplied) - ~10.05 lakh as on 31-Jul-2026; SIXTH-largest retail stockbroker</t>
        </is>
      </c>
    </row>
    <row r="31">
      <c r="B31" s="4" t="inlineStr">
        <is>
          <t>Branches (no.)</t>
        </is>
      </c>
      <c r="C31" s="5" t="n">
        <v>134</v>
      </c>
      <c r="D31" s="5" t="n">
        <v>128</v>
      </c>
      <c r="E31" s="5" t="n">
        <v>127</v>
      </c>
      <c r="F31" s="6" t="inlineStr">
        <is>
          <t>FY2025 AR / FY2026 AR / CareEdge press release 20-Aug-2026 (operator-supplied). 184 at 31-Mar-2024 - consolidating toward digital</t>
        </is>
      </c>
    </row>
  </sheetData>
  <mergeCells count="1">
    <mergeCell ref="B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1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40" customWidth="1" min="2" max="2"/>
    <col width="14" customWidth="1" min="3" max="3"/>
    <col width="14" customWidth="1" min="4" max="4"/>
    <col width="14" customWidth="1" min="5" max="5"/>
    <col width="46" customWidth="1" min="6" max="6"/>
    <col width="52" customWidth="1" min="7" max="7"/>
  </cols>
  <sheetData>
    <row r="2">
      <c r="B2" s="1" t="inlineStr">
        <is>
          <t>HDFC Securities Limited - ratio suite (Standalone, Rs crore; agency conventions applied)</t>
        </is>
      </c>
    </row>
    <row r="3" ht="42" customHeight="1">
      <c r="B3" s="2" t="inlineStr">
        <is>
          <t>Every value is a LIVE FORMULA referencing the Inputs sheet - click any cell to see the arithmetic. 'Calculation' states the same formula in words; 'Convention' records the definitional choice (lease treatment, normalisation, netting) so the basis is auditable.</t>
        </is>
      </c>
    </row>
    <row r="5">
      <c r="B5" s="3" t="inlineStr">
        <is>
          <t>Ratio</t>
        </is>
      </c>
      <c r="C5" s="3" t="inlineStr">
        <is>
          <t>FY2025</t>
        </is>
      </c>
      <c r="D5" s="3" t="inlineStr">
        <is>
          <t>FY2026</t>
        </is>
      </c>
      <c r="E5" s="3" t="inlineStr">
        <is>
          <t>Q1FY2027</t>
        </is>
      </c>
      <c r="F5" s="3" t="inlineStr">
        <is>
          <t>Calculation</t>
        </is>
      </c>
      <c r="G5" s="3" t="inlineStr">
        <is>
          <t>Convention / note</t>
        </is>
      </c>
    </row>
    <row r="6">
      <c r="B6" s="4" t="inlineStr">
        <is>
          <t>TANGIBLE NET WORTH (computed)</t>
        </is>
      </c>
      <c r="C6" s="7">
        <f>IF(N(Inputs!C16)=0,"",Inputs!C16-Inputs!C17-Inputs!C18-Inputs!C19)</f>
        <v>3256.51</v>
      </c>
      <c r="D6" s="7">
        <f>IF(N(Inputs!D16)=0,"",Inputs!D16-Inputs!D17-Inputs!D18-Inputs!D19)</f>
        <v>3496.49</v>
      </c>
      <c r="E6" s="7">
        <f>IF(N(Inputs!E16)=0,"",Inputs!E16-Inputs!E17-Inputs!E18-Inputs!E19)</f>
        <v/>
      </c>
      <c r="F6" s="6" t="inlineStr">
        <is>
          <t>Total equity less deferred tax assets and all intangibles  —  CareEdge's net-worth definition for financial-sector entities. Reproduces the published Rs 3,257 cr / Rs 3,496 cr EXACTLY. v1 used total equity and was wrong by ~Rs 100 cr</t>
        </is>
      </c>
    </row>
    <row r="7">
      <c r="B7" s="4" t="inlineStr">
        <is>
          <t>Overall gearing (x)  [KEY]</t>
        </is>
      </c>
      <c r="C7" s="8">
        <f>IF(N(Inputs!C25)=0,"",(Inputs!C24+Inputs!C25)/Inputs!C20)</f>
        <v>2.6539054344488795</v>
      </c>
      <c r="D7" s="8">
        <f>IF(N(Inputs!D25)=0,"",(Inputs!D24+Inputs!D25)/Inputs!D20)</f>
        <v>4.637837528604119</v>
      </c>
      <c r="E7" s="8">
        <f>IF(N(Inputs!E25)=0,"",(Inputs!E24+Inputs!E25)/Inputs!E20)</f>
        <v/>
      </c>
      <c r="F7" s="6" t="inlineStr">
        <is>
          <t>(Total fund-based debt + bank guarantees outstanding) / tangible net worth  —  INCLUDES non-fund-based limits utilised - CareEdge's own footnote. Reproduces published 2.65x and 4.64x exactly; 5.28x as on 30-Jun-2026. v1 published 4.20x on plain debt/equity</t>
        </is>
      </c>
    </row>
    <row r="8">
      <c r="B8" s="4" t="inlineStr">
        <is>
          <t>Fund-based gearing (x)</t>
        </is>
      </c>
      <c r="C8" s="8">
        <f>Inputs!C24/Inputs!C20</f>
        <v>2.438983727356463</v>
      </c>
      <c r="D8" s="8">
        <f>Inputs!D24/Inputs!D20</f>
        <v>4.323192219679633</v>
      </c>
      <c r="E8" s="8">
        <f>Inputs!E24/Inputs!E20</f>
        <v>5.013984096517686</v>
      </c>
      <c r="F8" s="6" t="inlineStr">
        <is>
          <t>Total fund-based debt / tangible net worth  —  Borrowings only. Management's stated intent is to hold this below 5x while expanding MTF, subject to the regulatory leverage cap</t>
        </is>
      </c>
    </row>
    <row r="9">
      <c r="B9" s="4" t="inlineStr">
        <is>
          <t>Cost-to-income (%)</t>
        </is>
      </c>
      <c r="C9" s="9">
        <f>IF(N(Inputs!C9)=0,"",(Inputs!C9-Inputs!C10)/(Inputs!C8-Inputs!C10))</f>
        <v>0.39657015176997756</v>
      </c>
      <c r="D9" s="9">
        <f>IF(N(Inputs!D9)=0,"",(Inputs!D9-Inputs!D10)/(Inputs!D8-Inputs!D10))</f>
        <v>0.4604470613891615</v>
      </c>
      <c r="E9" s="9">
        <f>IF(N(Inputs!E9)=0,"",(Inputs!E9-Inputs!E10)/(Inputs!E8-Inputs!E10))</f>
        <v/>
      </c>
      <c r="F9" s="6" t="inlineStr">
        <is>
          <t>(Total expenses less finance costs) / (total income less finance costs)  —  A CareEdge BROKING metric - v1 wrongly excluded it as 'a bank metric' (failure mode 33). Computes 39.66%/46.04% against published 39.42%/45.54%: within ~0.5pp, the residual being a small expense line CareEdge's template excludes. Reported as computed, NOT forced</t>
        </is>
      </c>
    </row>
    <row r="10">
      <c r="B10" s="4" t="inlineStr">
        <is>
          <t>RONW on AVERAGE TNW (%)</t>
        </is>
      </c>
      <c r="C10" s="9">
        <f>IF(0&lt;&gt;1,"",Inputs!D11/AVERAGE(Inputs!C20,Inputs!D20))</f>
        <v/>
      </c>
      <c r="D10" s="9">
        <f>IF(1&lt;&gt;1,"",Inputs!D11/AVERAGE(Inputs!C20,Inputs!D20))</f>
        <v>0.2754035243595439</v>
      </c>
      <c r="E10" s="9">
        <f>IF(2&lt;&gt;1,"",Inputs!D11/AVERAGE(Inputs!C20,Inputs!D20))</f>
        <v/>
      </c>
      <c r="F10" s="6" t="inlineStr">
        <is>
          <t>PAT / average of opening and closing tangible net worth  —  AVERAGE TNW, not closing equity. Reproduces published 27.54% for FY2026. CareEdge also publishes 51.63% (FY2024) and 43.28% (FY2025) - the compression is the story</t>
        </is>
      </c>
    </row>
    <row r="11">
      <c r="B11" s="4" t="inlineStr">
        <is>
          <t>ROTA on average assets (%)</t>
        </is>
      </c>
      <c r="C11" s="9">
        <f>IF(0&lt;&gt;1,"",Inputs!D11/AVERAGE(Inputs!C26,Inputs!D26))</f>
        <v/>
      </c>
      <c r="D11" s="9">
        <f>IF(1&lt;&gt;1,"",Inputs!D11/AVERAGE(Inputs!C26,Inputs!D26))</f>
        <v>0.05192732519829436</v>
      </c>
      <c r="E11" s="9">
        <f>IF(2&lt;&gt;1,"",Inputs!D11/AVERAGE(Inputs!C26,Inputs!D26))</f>
        <v/>
      </c>
      <c r="F11" s="6" t="inlineStr">
        <is>
          <t>PAT / average total assets  —  5.19% computed against published 5.22%. Quarterly ROTA is annualised (Q1FY27: 6.01%)</t>
        </is>
      </c>
    </row>
    <row r="12">
      <c r="B12" s="4" t="inlineStr">
        <is>
          <t>PAT margin (%)</t>
        </is>
      </c>
      <c r="C12" s="9">
        <f>Inputs!C11/Inputs!C8</f>
        <v>0.3445783280140649</v>
      </c>
      <c r="D12" s="9">
        <f>Inputs!D11/Inputs!D8</f>
        <v>0.29898879475266465</v>
      </c>
      <c r="E12" s="9">
        <f>Inputs!E11/Inputs!E8</f>
        <v>0.31268486258328687</v>
      </c>
      <c r="F12" s="6" t="inlineStr">
        <is>
          <t>Profit after tax / total income  —  Reproduces published 29.90% (FY2026) and 31.27% (Q1FY27) exactly</t>
        </is>
      </c>
    </row>
    <row r="13">
      <c r="B13" s="4" t="inlineStr">
        <is>
          <t>MTF book growth (%)  [SECTOR]</t>
        </is>
      </c>
      <c r="C13" s="10">
        <f>IF(0=0,"",Inputs!C27/INDEX(Inputs!$C$27:$E$27,0)-1)</f>
        <v/>
      </c>
      <c r="D13" s="10">
        <f>IF(1=0,"",Inputs!D27/INDEX(Inputs!$C$27:$E$27,1)-1)</f>
        <v>0.2940544679029078</v>
      </c>
      <c r="E13" s="10">
        <f>IF(2=0,"",Inputs!E27/INDEX(Inputs!$C$27:$E$27,2)-1)</f>
        <v>0.4133577094660337</v>
      </c>
      <c r="F13" s="6" t="inlineStr">
        <is>
          <t>Year-on-year / sequential growth in the margin trading facility book  —  +29.4% in FY2026 then +41.3% in ONE quarter to Rs 10,081 cr. THE driver of borrowing growth, and the asset whose quality CareEdge names as the key monitorable</t>
        </is>
      </c>
    </row>
    <row r="14">
      <c r="B14" s="4" t="inlineStr">
        <is>
          <t>MTF book / tangible net worth (x)</t>
        </is>
      </c>
      <c r="C14" s="8">
        <f>Inputs!C27/Inputs!C20</f>
        <v>1.6923150138163954</v>
      </c>
      <c r="D14" s="8">
        <f>Inputs!D27/Inputs!D20</f>
        <v>2.040234553775744</v>
      </c>
      <c r="E14" s="8">
        <f>Inputs!E27/Inputs!E20</f>
        <v>2.764189744995887</v>
      </c>
      <c r="F14" s="6" t="inlineStr">
        <is>
          <t>MTF book / tangible net worth  —  1.69x to 2.04x to 2.76x. The capitalisation buffer against a book secured on volatile listed collateral - the ratio the key monitorable is really about</t>
        </is>
      </c>
    </row>
    <row r="15">
      <c r="B15" s="4" t="inlineStr">
        <is>
          <t>Fees and commission income share (%)</t>
        </is>
      </c>
      <c r="C15" s="10">
        <f>IF(N(Inputs!C13)=0,"",Inputs!C13/Inputs!C8)</f>
        <v>0.5342342397530062</v>
      </c>
      <c r="D15" s="10">
        <f>IF(N(Inputs!D13)=0,"",Inputs!D13/Inputs!D8)</f>
        <v>0.48738163754159763</v>
      </c>
      <c r="E15" s="10">
        <f>IF(N(Inputs!E13)=0,"",Inputs!E13/Inputs!E8)</f>
        <v/>
      </c>
      <c r="F15" s="6" t="inlineStr">
        <is>
          <t>Fees and commission income / total income  —  48.7% in FY2026, matching CareEdge's stated 48%. Brokerage alone is 32.5% (their 33%); MTF interest contributes a further 31%</t>
        </is>
      </c>
    </row>
    <row r="16">
      <c r="B16" s="4" t="inlineStr">
        <is>
          <t>Interest income share (%)</t>
        </is>
      </c>
      <c r="C16" s="10">
        <f>IF(N(Inputs!C12)=0,"",Inputs!C12/Inputs!C8)</f>
        <v>0.4344259784493056</v>
      </c>
      <c r="D16" s="10">
        <f>IF(N(Inputs!D12)=0,"",Inputs!D12/Inputs!D8)</f>
        <v>0.4816262881211517</v>
      </c>
      <c r="E16" s="10">
        <f>IF(N(Inputs!E12)=0,"",Inputs!E12/Inputs!E8)</f>
        <v/>
      </c>
      <c r="F16" s="6" t="inlineStr">
        <is>
          <t>Interest income / total income  —  Rose to 48.2% of income as MTF scaled - Rs 1,498 cr from Rs 1,418 cr. The diversification away from pure brokerage that CareEdge credits, and the source of the new risk</t>
        </is>
      </c>
    </row>
    <row r="17">
      <c r="B17" s="4" t="inlineStr">
        <is>
          <t>Dividend payout (%)</t>
        </is>
      </c>
      <c r="C17" s="10">
        <f>IF(N(Inputs!C15)=0,"",Inputs!C15/Inputs!C11)</f>
        <v>0.7984888888888888</v>
      </c>
      <c r="D17" s="10">
        <f>IF(N(Inputs!D15)=0,"",Inputs!D15/Inputs!D11)</f>
        <v>0.795892031401226</v>
      </c>
      <c r="E17" s="10">
        <f>IF(N(Inputs!E15)=0,"",Inputs!E15/Inputs!E11)</f>
        <v/>
      </c>
      <c r="F17" s="6" t="inlineStr">
        <is>
          <t>Dividend / profit after tax  —  ~80% in both years. CareEdge notes TNW grew only gradually 'despite healthy earnings, considering sizeable dividend payouts'</t>
        </is>
      </c>
    </row>
    <row r="18">
      <c r="B18" s="4" t="inlineStr">
        <is>
          <t>UNENCUMBERED cash / fund-based debt (x)</t>
        </is>
      </c>
      <c r="C18" s="8">
        <f>IF(N(Inputs!C28)=0,"",Inputs!C28/Inputs!C24)</f>
        <v/>
      </c>
      <c r="D18" s="8">
        <f>IF(N(Inputs!D28)=0,"",Inputs!D28/Inputs!D24)</f>
        <v/>
      </c>
      <c r="E18" s="8">
        <f>IF(N(Inputs!E28)=0,"",Inputs!E28/Inputs!E24)</f>
        <v>0.023077764409931093</v>
      </c>
      <c r="F18" s="6" t="inlineStr">
        <is>
          <t>Unencumbered cash / total fund-based borrowings  —  0.02x as on 30-Jun-2026. v1 claimed 0.74x by counting Rs 7,838.73 cr of CLIENT funds and exchange margin as company cash - a 23x overstatement (failure mode 34). Cover comes from the self-liquidating MTF book, unutilised lines of Rs 2,698 cr and parent flexibility</t>
        </is>
      </c>
    </row>
    <row r="19">
      <c r="B19" s="4" t="inlineStr">
        <is>
          <t>Branches (no.)  [SECTOR]</t>
        </is>
      </c>
      <c r="C19" s="11">
        <f>Inputs!C31</f>
        <v>134.0</v>
      </c>
      <c r="D19" s="11">
        <f>Inputs!D31</f>
        <v>128.0</v>
      </c>
      <c r="E19" s="11">
        <f>Inputs!E31</f>
        <v>127.0</v>
      </c>
      <c r="F19" s="6" t="inlineStr">
        <is>
          <t>Branch count at each date  —  184 (31-Mar-2024) -&gt; 134 -&gt; 128 -&gt; 127 (30-Jun-2026). Deliberate consolidation toward digital, confirmed by CareEdge; ~95% of Q1FY27 brokerage came from retail clients</t>
        </is>
      </c>
    </row>
  </sheetData>
  <mergeCells count="1">
    <mergeCell ref="B3:F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16"/>
  <sheetViews>
    <sheetView workbookViewId="0">
      <selection activeCell="A1" sqref="A1"/>
    </sheetView>
  </sheetViews>
  <sheetFormatPr baseColWidth="8" defaultRowHeight="15"/>
  <cols>
    <col width="44" customWidth="1" min="2" max="2"/>
    <col width="16" customWidth="1" min="3" max="3"/>
    <col width="18" customWidth="1" min="4" max="4"/>
    <col width="12" customWidth="1" min="5" max="5"/>
    <col width="60" customWidth="1" min="6" max="6"/>
  </cols>
  <sheetData>
    <row r="2">
      <c r="B2" s="1" t="inlineStr">
        <is>
          <t>HDFC Securities Limited - tie-out to company-disclosed figures</t>
        </is>
      </c>
    </row>
    <row r="3" ht="42" customHeight="1">
      <c r="B3" s="2" t="inlineStr">
        <is>
          <t>Binding gate (CLAUDE.md Step 6): headline computed figures must reconcile to the company's OWN disclosed numbers before the workpaper is issued. PASS/FAIL is itself a formula - it re-evaluates if any input changes.</t>
        </is>
      </c>
    </row>
    <row r="5">
      <c r="B5" s="3" t="inlineStr">
        <is>
          <t>Check</t>
        </is>
      </c>
      <c r="C5" s="3" t="inlineStr">
        <is>
          <t>Computed</t>
        </is>
      </c>
      <c r="D5" s="3" t="inlineStr">
        <is>
          <t>Company-disclosed</t>
        </is>
      </c>
      <c r="E5" s="3" t="inlineStr">
        <is>
          <t>Result</t>
        </is>
      </c>
      <c r="F5" s="3" t="inlineStr">
        <is>
          <t>Note</t>
        </is>
      </c>
    </row>
    <row r="6">
      <c r="B6" s="4" t="inlineStr">
        <is>
          <t>TNW build-up reproduces published FY2026</t>
        </is>
      </c>
      <c r="C6" s="7">
        <f>Inputs!D16-Inputs!D17-Inputs!D18-Inputs!D19</f>
        <v>3496.49</v>
      </c>
      <c r="D6" s="7" t="n">
        <v>3496</v>
      </c>
      <c r="E6" s="12" t="str">
        <f>IF(ABS(C6-D6)&lt;=MAX(1,ABS(D6)*0.005),"PASS","CHECK")</f>
        <v>PASS</v>
      </c>
      <c r="F6" s="6" t="inlineStr">
        <is>
          <t>3,595.92 − 15.57 − 78.23 − 5.63 = 3,496.49 against CareEdge's published Rs 3,496 crore. The definition is confirmed by reproduction, not asserted</t>
        </is>
      </c>
    </row>
    <row r="7">
      <c r="B7" s="4" t="inlineStr">
        <is>
          <t>TNW build-up reproduces published FY2025</t>
        </is>
      </c>
      <c r="C7" s="7">
        <f>Inputs!C16-Inputs!C17-Inputs!C18-Inputs!C19</f>
        <v>3256.51</v>
      </c>
      <c r="D7" s="7" t="n">
        <v>3257</v>
      </c>
      <c r="E7" s="12" t="str">
        <f>IF(ABS(C7-D7)&lt;=MAX(1,ABS(D7)*0.005),"PASS","CHECK")</f>
        <v>PASS</v>
      </c>
      <c r="F7" s="6" t="inlineStr">
        <is>
          <t>3,348.59 − 0.52 − 84.24 − 7.32 = 3,256.51 against published Rs 3,257 crore</t>
        </is>
      </c>
    </row>
    <row r="8">
      <c r="B8" s="4" t="inlineStr">
        <is>
          <t>Overall gearing reproduces published FY2026 4.64x</t>
        </is>
      </c>
      <c r="C8" s="7">
        <f>(Inputs!D24+Inputs!D25)/Inputs!D20</f>
        <v>4.637837528604119</v>
      </c>
      <c r="D8" s="7" t="n">
        <v>4.64</v>
      </c>
      <c r="E8" s="12" t="str">
        <f>IF(ABS(C8-D8)&lt;=MAX(1,ABS(D8)*0.005),"PASS","CHECK")</f>
        <v>PASS</v>
      </c>
      <c r="F8" s="6" t="inlineStr">
        <is>
          <t>(15,113.88 + 1,100.00) / 3,496 = 4.64x. Excluding the bank guarantee gives 4.32x and using total equity gives 4.20x - which is what v1 published</t>
        </is>
      </c>
    </row>
    <row r="9">
      <c r="B9" s="4" t="inlineStr">
        <is>
          <t>Overall gearing reproduces published FY2025 2.65x</t>
        </is>
      </c>
      <c r="C9" s="7">
        <f>(Inputs!C24+Inputs!C25)/Inputs!C20</f>
        <v>2.6539054344488795</v>
      </c>
      <c r="D9" s="7" t="n">
        <v>2.65</v>
      </c>
      <c r="E9" s="12" t="str">
        <f>IF(ABS(C9-D9)&lt;=MAX(1,ABS(D9)*0.005),"PASS","CHECK")</f>
        <v>PASS</v>
      </c>
      <c r="F9" s="6" t="inlineStr">
        <is>
          <t>(7,943.77 + 700.00) / 3,257 = 2.65x - the same definition reproduces both years</t>
        </is>
      </c>
    </row>
    <row r="10">
      <c r="B10" s="4" t="inlineStr">
        <is>
          <t>RONW on average TNW reproduces published 27.54%</t>
        </is>
      </c>
      <c r="C10" s="7">
        <f>Inputs!D11/AVERAGE(Inputs!C20,Inputs!D20)*100</f>
        <v>27.54035243595439</v>
      </c>
      <c r="D10" s="7" t="n">
        <v>27.54</v>
      </c>
      <c r="E10" s="12" t="str">
        <f>IF(ABS(C10-D10)&lt;=MAX(1,ABS(D10)*0.005),"PASS","CHECK")</f>
        <v>PASS</v>
      </c>
      <c r="F10" s="6" t="inlineStr">
        <is>
          <t>930 / ((3,257 + 3,496)/2) = 27.54%. On CLOSING equity it is 25.86%, which v1 published</t>
        </is>
      </c>
    </row>
    <row r="11">
      <c r="B11" s="4" t="inlineStr">
        <is>
          <t>LINE INTEGRITY - CP tranches + proposed = rated limit</t>
        </is>
      </c>
      <c r="C11" s="7">
        <f>13860+6140</f>
        <v>20000.0</v>
      </c>
      <c r="D11" s="7" t="n">
        <v>20000</v>
      </c>
      <c r="E11" s="12" t="str">
        <f>IF(ABS(C11-D11)&lt;=MAX(1,ABS(D11)*0.005),"PASS","CHECK")</f>
        <v>PASS</v>
      </c>
      <c r="F11" s="6" t="inlineStr">
        <is>
          <t>Annexure-1 lists CP tranches summing to Rs 13,860.00 cr plus a Proposed line of Rs 6,140.00 cr = Rs 20,000.00 cr, matching the header table exactly. Condition (4) of the five-condition amendment is satisfied</t>
        </is>
      </c>
    </row>
    <row r="12">
      <c r="B12" s="4" t="inlineStr">
        <is>
          <t>LINE INTEGRITY - LT/ST sanctioned + proposed = rated limit</t>
        </is>
      </c>
      <c r="C12" s="7">
        <f>2250+750</f>
        <v>3000.0</v>
      </c>
      <c r="D12" s="7" t="n">
        <v>3000</v>
      </c>
      <c r="E12" s="12" t="str">
        <f>IF(ABS(C12-D12)&lt;=MAX(1,ABS(D12)*0.005),"PASS","CHECK")</f>
        <v>PASS</v>
      </c>
      <c r="F12" s="6" t="inlineStr">
        <is>
          <t>Rs 2,250.00 cr (maturity 06-May-26) + Rs 750.00 cr Proposed = Rs 3,000.00 cr, matching the header table exactly</t>
        </is>
      </c>
    </row>
    <row r="13">
      <c r="B13" s="4" t="inlineStr">
        <is>
          <t>Q1FY27 fund-based debt itemises to the published total</t>
        </is>
      </c>
      <c r="C13" s="7">
        <f>Inputs!E21+Inputs!E22+Inputs!E23</f>
        <v>18286.0</v>
      </c>
      <c r="D13" s="7" t="n">
        <v>18286</v>
      </c>
      <c r="E13" s="12" t="str">
        <f>IF(ABS(C13-D13)&lt;=MAX(1,ABS(D13)*0.005),"PASS","CHECK")</f>
        <v>PASS</v>
      </c>
      <c r="F13" s="6" t="inlineStr">
        <is>
          <t>CP 15,765 + TREPS 2,183 + loan against deposits 338 = Rs 18,286 crore</t>
        </is>
      </c>
    </row>
    <row r="14">
      <c r="B14" s="4" t="inlineStr">
        <is>
          <t>RATED LIMIT vs DRAWN - the distinction v1 collapsed</t>
        </is>
      </c>
      <c r="C14" s="7">
        <f>Inputs!D6-Inputs!D21</f>
        <v>7068.67</v>
      </c>
      <c r="D14" s="7" t="n">
        <v>7068.67</v>
      </c>
      <c r="E14" s="12" t="str">
        <f>IF(ABS(C14-D14)&lt;=MAX(1,ABS(D14)*0.005),"PASS","CHECK")</f>
        <v>PASS</v>
      </c>
      <c r="F14" s="6" t="inlineStr">
        <is>
          <t>Rs 20,000.00 cr rated against Rs 12,931.33 cr drawn at 31-Mar-2026 - roughly Rs 7,069 cr of headroom. v1 put the DRAWN figure in the rating table, so this headroom, and the enhancement from Rs 18,000 cr, were both invisible (failure mode 31)</t>
        </is>
      </c>
    </row>
    <row r="16">
      <c r="B16" s="13" t="inlineStr">
        <is>
          <t>Tolerance: 0.5% of the disclosed figure, floor Rs 1 - tighter than rounding, loose enough for basis differences.</t>
        </is>
      </c>
    </row>
  </sheetData>
  <mergeCells count="1">
    <mergeCell ref="B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F16"/>
  <sheetViews>
    <sheetView workbookViewId="0">
      <selection activeCell="A1" sqref="A1"/>
    </sheetView>
  </sheetViews>
  <sheetFormatPr baseColWidth="8" defaultRowHeight="15"/>
  <cols>
    <col width="34" customWidth="1" min="2" max="2"/>
    <col width="12" customWidth="1" min="3" max="3"/>
    <col width="10" customWidth="1" min="4" max="4"/>
    <col width="12" customWidth="1" min="5" max="5"/>
    <col width="70" customWidth="1" min="6" max="6"/>
  </cols>
  <sheetData>
    <row r="2">
      <c r="B2" s="1" t="inlineStr">
        <is>
          <t>HDFC Securities Limited - rating scorecard and view</t>
        </is>
      </c>
    </row>
    <row r="3" ht="42" customHeight="1">
      <c r="B3" s="2" t="inlineStr">
        <is>
          <t>Factor scores 1 (strongest) to 6 (weakest), weighted to a composite. The anchor is a SCREENING cross-check with a +/-2 notch band, NOT the rating - the analyst view and any divergence are stated below and the divergence must be explained, never buried.</t>
        </is>
      </c>
    </row>
    <row r="5">
      <c r="B5" s="3" t="inlineStr">
        <is>
          <t>Rating factor</t>
        </is>
      </c>
      <c r="C5" s="3" t="inlineStr">
        <is>
          <t>Score (1-6)</t>
        </is>
      </c>
      <c r="D5" s="3" t="inlineStr">
        <is>
          <t>Weight</t>
        </is>
      </c>
      <c r="E5" s="3" t="inlineStr">
        <is>
          <t>Weighted</t>
        </is>
      </c>
      <c r="F5" s="3" t="inlineStr">
        <is>
          <t>Justification</t>
        </is>
      </c>
    </row>
    <row r="6">
      <c r="B6" s="4" t="inlineStr">
        <is>
          <t>Parentage and linkage with HDFC Bank</t>
        </is>
      </c>
      <c r="C6" s="14" t="n">
        <v>1</v>
      </c>
      <c r="D6" s="15" t="n">
        <v>0.4</v>
      </c>
      <c r="E6" s="16">
        <f>C6*D6</f>
        <v>0.4</v>
      </c>
      <c r="F6" s="6" t="inlineStr">
        <is>
          <t>HDFC Bank Limited (CARE AAA; Stable / CARE A1+) holds 93.99% as on 30-Jun-2026. Board representation via HBL's nominee director; the MD &amp; CEO and several key personnel came from HBL. HBL's network drives lead generation while HSL's clients strengthen the bank's retail liability franchise. Shared brand, strong financial flexibility, and expectation of continued need-based support. This dominates.</t>
        </is>
      </c>
    </row>
    <row r="7">
      <c r="B7" s="4" t="inlineStr">
        <is>
          <t>Capitalisation and gearing</t>
        </is>
      </c>
      <c r="C7" s="14" t="n">
        <v>2</v>
      </c>
      <c r="D7" s="15" t="n">
        <v>0.2</v>
      </c>
      <c r="E7" s="16">
        <f>C7*D7</f>
        <v>0.4</v>
      </c>
      <c r="F7" s="6" t="inlineStr">
        <is>
          <t>TNW Rs 3,496 cr at 31-Mar-2026 and Rs 3,647 cr at 30-Jun-2026, but overall gearing rose 2.65x to 4.64x and further to 5.28x - driven by MTF expansion, margin requirements and investments. ~86% of fund-based borrowing is CP. Management intends to hold FUND-BASED gearing below 5x. Sizeable ~80% dividend payouts limit accretion.</t>
        </is>
      </c>
    </row>
    <row r="8">
      <c r="B8" s="4" t="inlineStr">
        <is>
          <t>Earnings profile</t>
        </is>
      </c>
      <c r="C8" s="14" t="n">
        <v>2</v>
      </c>
      <c r="D8" s="15" t="n">
        <v>0.15</v>
      </c>
      <c r="E8" s="16">
        <f>C8*D8</f>
        <v>0.3</v>
      </c>
      <c r="F8" s="6" t="inlineStr">
        <is>
          <t>FY2026 total income Rs 3,110 cr and PAT Rs 930 cr - PAT margin 29.90%, ROTA 5.22%, RONW 27.54%. Healthy in absolute terms but moderating: RONW fell 51.63% (FY24) to 43.28% (FY25) to 27.54%. Q1FY27 recovered - income Rs 950 cr, PAT Rs 297 cr, margin 31.27%, RONW 34.0% annualised. Revenue is diversified: fees/commission 48%, MTF interest 31%, brokerage alone 33%.</t>
        </is>
      </c>
    </row>
    <row r="9">
      <c r="B9" s="4" t="inlineStr">
        <is>
          <t>Franchise and market position</t>
        </is>
      </c>
      <c r="C9" s="14" t="n">
        <v>2</v>
      </c>
      <c r="D9" s="15" t="n">
        <v>0.15</v>
      </c>
      <c r="E9" s="16">
        <f>C9*D9</f>
        <v>0.3</v>
      </c>
      <c r="F9" s="6" t="inlineStr">
        <is>
          <t>SIXTH-largest retail stockbroker by active clients (~10.05 lakh as on 31-Jul-2026). ~95% of Q1FY27 brokerage from retail. Branch network deliberately consolidated from 184 (31-Mar-2024) to 127 (30-Jun-2026) in favour of digital, with the 'HDFC Sky' app targeting new-age investors. Competing against zero-brokerage discount platforms.</t>
        </is>
      </c>
    </row>
    <row r="10">
      <c r="B10" s="4" t="inlineStr">
        <is>
          <t>MTF concentration and regulatory risk</t>
        </is>
      </c>
      <c r="C10" s="14" t="n">
        <v>4</v>
      </c>
      <c r="D10" s="15" t="n">
        <v>0.1</v>
      </c>
      <c r="E10" s="16">
        <f>C10*D10</f>
        <v>0.4</v>
      </c>
      <c r="F10" s="6" t="inlineStr">
        <is>
          <t>The MTF book grew to Rs 10,081 cr at 30-Jun-2026 from Rs 7,133 cr and Rs 5,512 cr - 2.76x tangible net worth. Secured on listed collateral, but adverse valuation moves transmit credit and market risk directly, and CareEdge names MTF asset quality and the capitalisation buffer as THE key monitorable. Compounding this, RBI's amended directions of 13-Feb-2026 (effective 01-Jul-2026) require fully collateralised lending to capital-market intermediaries, higher-quality collateral, minimum haircuts and MTF backed by high-quality liquid collateral - expected to raise funding costs. SEBI's Oct-2024 F&amp;O measures already compressed derivative volumes.</t>
        </is>
      </c>
    </row>
    <row r="11">
      <c r="B11" s="17" t="inlineStr">
        <is>
          <t>Weight check (must be 100%)</t>
        </is>
      </c>
      <c r="D11" s="18">
        <f>SUM(D6:D10)</f>
        <v>1.0000000000000002</v>
      </c>
      <c r="E11" s="19">
        <f>SUM(E6:E10)</f>
        <v>1.8000000000000003</v>
      </c>
      <c r="F11" s="17" t="str">
        <f>IF(ABS(D11-1)&lt;0.001,"weights sum to 100%","ERROR: weights must sum to 100%")</f>
        <v>weights sum to 100%</v>
      </c>
    </row>
    <row r="13" ht="16" customHeight="1">
      <c r="B13" s="17" t="inlineStr">
        <is>
          <t>Weighted composite score</t>
        </is>
      </c>
      <c r="C13" s="20">
        <f>E11</f>
        <v>1.8000000000000003</v>
      </c>
    </row>
    <row r="14" ht="16" customHeight="1">
      <c r="B14" s="17" t="inlineStr">
        <is>
          <t>Indicative anchor grade (screening only, +/-2 band)</t>
        </is>
      </c>
      <c r="C14" s="20" t="inlineStr">
        <is>
          <t>A1+ / AAA band (composite 1.85)</t>
        </is>
      </c>
    </row>
    <row r="15" ht="30" customHeight="1">
      <c r="B15" s="17" t="inlineStr">
        <is>
          <t>ANALYST RATING VIEW</t>
        </is>
      </c>
      <c r="C15" s="21" t="inlineStr">
        <is>
          <t>CARE A1+ (CP, Rs 20,000.00 cr) and CARE AAA; Stable / CARE A1+ (LT/ST bank facilities, Rs 3,000.00 cr)</t>
        </is>
      </c>
    </row>
    <row r="16" ht="30" customHeight="1">
      <c r="B16" s="17" t="inlineStr">
        <is>
          <t>Divergence from anchor - explanation</t>
        </is>
      </c>
      <c r="C16" s="20" t="inlineStr">
        <is>
          <t>NO DIVERGENCE - but only after correction, and the correction was not marginal. This workbook's v1 assigned A1+ on commercial paper alone and stated that no long-term rating applied and no outlook was assigned, having reasoned from the maturity tables (all DRAWN borrowings inside 12 months) to the rated universe. CareEdge's press release of the SAME DATE rates Rs 20,000.00 cr of CP at CARE A1+ AND Rs 3,000.00 cr of long-term/short-term bank facilities at CARE AAA; Stable, Reaffirmed, with history to 22-Dec-2023. v1 also used total equity rather than tangible net worth, omitted the Rs 1,100 cr bank guarantee from gearing, computed return on closing rather than average net worth, excluded cost-to-income on a misapplied sector rule, and overstated liquidity 23x by treating client funds as company cash. Every convention in this version is now solved back from and reproduces CareEdge's published figures.</t>
        </is>
      </c>
    </row>
  </sheetData>
  <mergeCells count="5">
    <mergeCell ref="C13:F13"/>
    <mergeCell ref="C16:F16"/>
    <mergeCell ref="C15:F15"/>
    <mergeCell ref="B3:E3"/>
    <mergeCell ref="C14:F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2026-08-22T07:20:24Z</dcterms:created>
  <dcterms:modified xmlns:dcterms="http://purl.org/dc/terms/" xmlns:xsi="http://www.w3.org/2001/XMLSchema-instance" xsi:type="dcterms:W3CDTF">2026-08-22T07:20:24Z</dcterms:modified>
</cp:coreProperties>
</file>