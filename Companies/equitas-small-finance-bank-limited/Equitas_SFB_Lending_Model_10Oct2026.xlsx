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ending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pital" sheetId="4" state="visible" r:id="rId4"/>
    <sheet xmlns:r="http://schemas.openxmlformats.org/officeDocument/2006/relationships" name="Credit Ratio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ebt Breakup" sheetId="7" state="visible" r:id="rId7"/>
    <sheet xmlns:r="http://schemas.openxmlformats.org/officeDocument/2006/relationships" name="Valuation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2" fontId="0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72" customWidth="1" min="1" max="1"/>
    <col width="100" customWidth="1" min="7" max="7"/>
  </cols>
  <sheetData>
    <row r="1">
      <c r="A1" s="1" t="inlineStr">
        <is>
          <t>Equitas Small Finance Bank - standalone lending model (Rs crore). Base case on the statement tabs; Scenarios tab carries Stress and Tail. Generated by build_model.py from compute_ratios.py.</t>
        </is>
      </c>
    </row>
    <row r="3">
      <c r="A3" s="2" t="inlineStr">
        <is>
          <t>Driver</t>
        </is>
      </c>
      <c r="B3" s="2" t="inlineStr">
        <is>
          <t>FY2027E</t>
        </is>
      </c>
      <c r="C3" s="2" t="inlineStr">
        <is>
          <t>FY2028E</t>
        </is>
      </c>
      <c r="D3" s="2" t="inlineStr">
        <is>
          <t>FY2029E</t>
        </is>
      </c>
      <c r="E3" s="2" t="inlineStr">
        <is>
          <t>FY2030E</t>
        </is>
      </c>
      <c r="F3" s="2" t="inlineStr">
        <is>
          <t>FY2031E</t>
        </is>
      </c>
      <c r="G3" s="2" t="inlineStr">
        <is>
          <t>Source / basis</t>
        </is>
      </c>
    </row>
    <row r="4">
      <c r="A4" t="inlineStr">
        <is>
          <t>Gross advances growth (%) - Base</t>
        </is>
      </c>
      <c r="B4" t="n">
        <v>18</v>
      </c>
      <c r="C4" t="n">
        <v>18</v>
      </c>
      <c r="D4" t="n">
        <v>17</v>
      </c>
      <c r="E4" t="n">
        <v>16</v>
      </c>
      <c r="F4" t="n">
        <v>15</v>
      </c>
      <c r="G4" t="inlineStr">
        <is>
          <t>ANALYST JUDGMENT. FY2026 +18.0% (RBI gross advances 36,922.42 -&gt; 43,580.10, asset-quality note); FY2025 +17.5%. Moderates as the base grows. Stress/Tail slow growth to conserve capital.</t>
        </is>
      </c>
    </row>
    <row r="5">
      <c r="A5" t="inlineStr">
        <is>
          <t>Gross advances growth (%) - Stress (MFI-type shock)</t>
        </is>
      </c>
      <c r="B5" t="n">
        <v>10</v>
      </c>
      <c r="C5" t="n">
        <v>8</v>
      </c>
      <c r="D5" t="n">
        <v>12</v>
      </c>
      <c r="E5" t="n">
        <v>15</v>
      </c>
      <c r="F5" t="n">
        <v>15</v>
      </c>
      <c r="G5" t="inlineStr"/>
    </row>
    <row r="6">
      <c r="A6" t="inlineStr">
        <is>
          <t>Gross advances growth (%) - Tail (Utkarsh-type shock)</t>
        </is>
      </c>
      <c r="B6" t="n">
        <v>5</v>
      </c>
      <c r="C6" t="n">
        <v>5</v>
      </c>
      <c r="D6" t="n">
        <v>10</v>
      </c>
      <c r="E6" t="n">
        <v>15</v>
      </c>
      <c r="F6" t="n">
        <v>15</v>
      </c>
      <c r="G6" t="inlineStr"/>
    </row>
    <row r="7">
      <c r="A7" t="inlineStr">
        <is>
          <t>NIM on average total assets (%) - Base</t>
        </is>
      </c>
      <c r="B7" t="n">
        <v>6</v>
      </c>
      <c r="C7" t="n">
        <v>6.1</v>
      </c>
      <c r="D7" t="n">
        <v>6.2</v>
      </c>
      <c r="E7" t="n">
        <v>6.2</v>
      </c>
      <c r="F7" t="n">
        <v>6.2</v>
      </c>
      <c r="G7" t="inlineStr">
        <is>
          <t>ANALYST JUDGMENT anchored on FY2026 5.98% (CareEdge basis, engine) and FY2025 6.63%. The microfinance book (~10% of advances, down from 18%) earns the highest yield; its shrinkage caps the recovery. Stress compresses NIM via interest reversals on slippages.</t>
        </is>
      </c>
    </row>
    <row r="8">
      <c r="A8" t="inlineStr">
        <is>
          <t>NIM on average total assets (%) - Stress (MFI-type shock)</t>
        </is>
      </c>
      <c r="B8" t="n">
        <v>5.6</v>
      </c>
      <c r="C8" t="n">
        <v>5.5</v>
      </c>
      <c r="D8" t="n">
        <v>5.8</v>
      </c>
      <c r="E8" t="n">
        <v>6</v>
      </c>
      <c r="F8" t="n">
        <v>6.1</v>
      </c>
      <c r="G8" t="inlineStr"/>
    </row>
    <row r="9">
      <c r="A9" t="inlineStr">
        <is>
          <t>NIM on average total assets (%) - Tail (Utkarsh-type shock)</t>
        </is>
      </c>
      <c r="B9" t="n">
        <v>5.6</v>
      </c>
      <c r="C9" t="n">
        <v>5.5</v>
      </c>
      <c r="D9" t="n">
        <v>5.8</v>
      </c>
      <c r="E9" t="n">
        <v>6</v>
      </c>
      <c r="F9" t="n">
        <v>6.1</v>
      </c>
      <c r="G9" t="inlineStr"/>
    </row>
    <row r="10">
      <c r="A10" t="inlineStr">
        <is>
          <t>Other income / avg total assets (%) - Base</t>
        </is>
      </c>
      <c r="B10" t="n">
        <v>1.8</v>
      </c>
      <c r="C10" t="n">
        <v>1.8</v>
      </c>
      <c r="D10" t="n">
        <v>1.8</v>
      </c>
      <c r="E10" t="n">
        <v>1.8</v>
      </c>
      <c r="F10" t="n">
        <v>1.8</v>
      </c>
      <c r="G10" t="inlineStr">
        <is>
          <t>FY2026 actual 1.89% (engine); includes PSLC fees and recoveries from written-off accounts.</t>
        </is>
      </c>
    </row>
    <row r="11">
      <c r="A11" t="inlineStr">
        <is>
          <t>Other income / avg total assets (%) - Stress (MFI-type shock)</t>
        </is>
      </c>
      <c r="B11" t="n">
        <v>1.6</v>
      </c>
      <c r="C11" t="n">
        <v>1.5</v>
      </c>
      <c r="D11" t="n">
        <v>1.7</v>
      </c>
      <c r="E11" t="n">
        <v>1.8</v>
      </c>
      <c r="F11" t="n">
        <v>1.8</v>
      </c>
      <c r="G11" t="inlineStr"/>
    </row>
    <row r="12">
      <c r="A12" t="inlineStr">
        <is>
          <t>Other income / avg total assets (%) - Tail (Utkarsh-type shock)</t>
        </is>
      </c>
      <c r="B12" t="n">
        <v>1.6</v>
      </c>
      <c r="C12" t="n">
        <v>1.5</v>
      </c>
      <c r="D12" t="n">
        <v>1.7</v>
      </c>
      <c r="E12" t="n">
        <v>1.8</v>
      </c>
      <c r="F12" t="n">
        <v>1.8</v>
      </c>
      <c r="G12" t="inlineStr"/>
    </row>
    <row r="13">
      <c r="A13" t="inlineStr">
        <is>
          <t>Opex / avg total assets (%) - Base</t>
        </is>
      </c>
      <c r="B13" t="n">
        <v>5.5</v>
      </c>
      <c r="C13" t="n">
        <v>5.4</v>
      </c>
      <c r="D13" t="n">
        <v>5.3</v>
      </c>
      <c r="E13" t="n">
        <v>5.2</v>
      </c>
      <c r="F13" t="n">
        <v>5.1</v>
      </c>
      <c r="G13" t="inlineStr">
        <is>
          <t>FY2026 actual 5.64% (engine); gradual operating leverage assumed (1,060 branches already built).</t>
        </is>
      </c>
    </row>
    <row r="14">
      <c r="A14" t="inlineStr">
        <is>
          <t>Opex / avg total assets (%) - Stress (MFI-type shock)</t>
        </is>
      </c>
      <c r="B14" t="n">
        <v>5.6</v>
      </c>
      <c r="C14" t="n">
        <v>5.7</v>
      </c>
      <c r="D14" t="n">
        <v>5.5</v>
      </c>
      <c r="E14" t="n">
        <v>5.3</v>
      </c>
      <c r="F14" t="n">
        <v>5.2</v>
      </c>
      <c r="G14" t="inlineStr"/>
    </row>
    <row r="15">
      <c r="A15" t="inlineStr">
        <is>
          <t>Opex / avg total assets (%) - Tail (Utkarsh-type shock)</t>
        </is>
      </c>
      <c r="B15" t="n">
        <v>5.6</v>
      </c>
      <c r="C15" t="n">
        <v>5.7</v>
      </c>
      <c r="D15" t="n">
        <v>5.5</v>
      </c>
      <c r="E15" t="n">
        <v>5.3</v>
      </c>
      <c r="F15" t="n">
        <v>5.2</v>
      </c>
      <c r="G15" t="inlineStr"/>
    </row>
    <row r="16">
      <c r="A16" t="inlineStr">
        <is>
          <t>Credit cost / avg total assets (%) - Base</t>
        </is>
      </c>
      <c r="B16" t="n">
        <v>1.2</v>
      </c>
      <c r="C16" t="n">
        <v>1.1</v>
      </c>
      <c r="D16" t="n">
        <v>1.1</v>
      </c>
      <c r="E16" t="n">
        <v>1.1</v>
      </c>
      <c r="F16" t="n">
        <v>1.1</v>
      </c>
      <c r="G16" t="inlineStr">
        <is>
          <t>ANALYST JUDGMENT. FY2026 2.00%, FY2025 2.31% (engine). Base normalises as the MFI stress passes: Q1 FY2027 PBT Rs 244.07 crore vs a Rs 297.48 crore loss in Q1 FY2026 (segment note). Stress repeats FY2025-26-type costs; Tail is a severe shock (peer Utkarsh: GNPA 12.42%).</t>
        </is>
      </c>
    </row>
    <row r="17">
      <c r="A17" t="inlineStr">
        <is>
          <t>Credit cost / avg total assets (%) - Stress (MFI-type shock)</t>
        </is>
      </c>
      <c r="B17" t="n">
        <v>3</v>
      </c>
      <c r="C17" t="n">
        <v>2.5</v>
      </c>
      <c r="D17" t="n">
        <v>1.6</v>
      </c>
      <c r="E17" t="n">
        <v>1.2</v>
      </c>
      <c r="F17" t="n">
        <v>1.1</v>
      </c>
      <c r="G17" t="inlineStr"/>
    </row>
    <row r="18">
      <c r="A18" t="inlineStr">
        <is>
          <t>Credit cost / avg total assets (%) - Tail (Utkarsh-type shock)</t>
        </is>
      </c>
      <c r="B18" t="n">
        <v>5</v>
      </c>
      <c r="C18" t="n">
        <v>3.5</v>
      </c>
      <c r="D18" t="n">
        <v>2</v>
      </c>
      <c r="E18" t="n">
        <v>1.3</v>
      </c>
      <c r="F18" t="n">
        <v>1.1</v>
      </c>
      <c r="G18" t="inlineStr"/>
    </row>
    <row r="19">
      <c r="A19" t="inlineStr">
        <is>
          <t>Dividend payout (% of PAT) - Base</t>
        </is>
      </c>
      <c r="B19" t="n">
        <v>0</v>
      </c>
      <c r="C19" t="n">
        <v>10</v>
      </c>
      <c r="D19" t="n">
        <v>10</v>
      </c>
      <c r="E19" t="n">
        <v>10</v>
      </c>
      <c r="F19" t="n">
        <v>10</v>
      </c>
      <c r="G19" t="inlineStr">
        <is>
          <t>No dividend for FY2025 or FY2026 (Board). Base resumes 10% from FY2028; none under stress.</t>
        </is>
      </c>
    </row>
    <row r="20">
      <c r="A20" t="inlineStr">
        <is>
          <t>Dividend payout (% of PAT) - Stress (MFI-type shock)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</row>
    <row r="21">
      <c r="A21" t="inlineStr">
        <is>
          <t>Dividend payout (% of PAT) - Tail (Utkarsh-type shock)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</row>
    <row r="23">
      <c r="A23" t="inlineStr">
        <is>
          <t>FY2026 asset mix held: advances / investments / cash / other (% of total assets)</t>
        </is>
      </c>
      <c r="B23" t="inlineStr">
        <is>
          <t>70.5 / 16.7 / 9.3 / 3.4</t>
        </is>
      </c>
      <c r="C23" t="inlineStr"/>
      <c r="D23" t="inlineStr"/>
      <c r="E23" t="inlineStr"/>
      <c r="F23" t="inlineStr"/>
      <c r="G23" t="inlineStr">
        <is>
          <t>balance sheet FY2026</t>
        </is>
      </c>
    </row>
    <row r="24">
      <c r="A24" t="inlineStr">
        <is>
          <t>RWA density (RWA / total assets, %)</t>
        </is>
      </c>
      <c r="B24" t="n">
        <v>52.84</v>
      </c>
      <c r="C24" t="inlineStr"/>
      <c r="D24" t="inlineStr"/>
      <c r="E24" t="inlineStr"/>
      <c r="F24" t="inlineStr"/>
      <c r="G24" t="inlineStr">
        <is>
          <t>FY2026: 32,028.39 / 60,610.36</t>
        </is>
      </c>
    </row>
    <row r="25">
      <c r="A25" t="inlineStr">
        <is>
          <t>Tier II capital held at FY2026 level (Rs crore)</t>
        </is>
      </c>
      <c r="B25" t="n">
        <v>1161.35</v>
      </c>
      <c r="C25" t="inlineStr"/>
      <c r="D25" t="inlineStr"/>
      <c r="E25" t="inlineStr"/>
      <c r="F25" t="inlineStr"/>
      <c r="G25" t="inlineStr">
        <is>
          <t>assumes the two Rs 500 crore 9.6% Lower Tier II bonds (maturity 2030) are refinanced as Basel II discounting begins - analyst assumption</t>
        </is>
      </c>
    </row>
    <row r="26">
      <c r="A26" t="inlineStr">
        <is>
          <t>Borrowings held flat (Rs crore)</t>
        </is>
      </c>
      <c r="B26" t="n">
        <v>5772.55</v>
      </c>
      <c r="C26" t="inlineStr"/>
      <c r="D26" t="inlineStr"/>
      <c r="E26" t="inlineStr"/>
      <c r="F26" t="inlineStr"/>
      <c r="G26" t="inlineStr">
        <is>
          <t>deposits are the funding plug</t>
        </is>
      </c>
    </row>
    <row r="27">
      <c r="A27" t="inlineStr">
        <is>
          <t>Tax rate (%)</t>
        </is>
      </c>
      <c r="B27" t="n">
        <v>25.17</v>
      </c>
      <c r="C27" t="inlineStr"/>
      <c r="D27" t="inlineStr"/>
      <c r="E27" t="inlineStr"/>
      <c r="F27" t="inlineStr"/>
      <c r="G27" t="inlineStr">
        <is>
          <t>statutory; FY2026 effective 19.6% on a small PBT</t>
        </is>
      </c>
    </row>
    <row r="28">
      <c r="A28" t="inlineStr">
        <is>
          <t>Breakeven FY2027 credit cost for CRAR = 15% (% of avg total assets)</t>
        </is>
      </c>
      <c r="B28" t="n">
        <v>3.99</v>
      </c>
      <c r="C28" t="inlineStr"/>
      <c r="D28" t="inlineStr"/>
      <c r="E28" t="inlineStr"/>
      <c r="F28" t="inlineStr"/>
      <c r="G28" t="inlineStr">
        <is>
          <t>solved in code, base-case other drivers, no dividend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2" t="inlineStr">
        <is>
          <t>Rs crore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FY2027E</t>
        </is>
      </c>
      <c r="G1" s="2" t="inlineStr">
        <is>
          <t>FY2028E</t>
        </is>
      </c>
      <c r="H1" s="2" t="inlineStr">
        <is>
          <t>FY2029E</t>
        </is>
      </c>
      <c r="I1" s="2" t="inlineStr">
        <is>
          <t>FY2030E</t>
        </is>
      </c>
      <c r="J1" s="2" t="inlineStr">
        <is>
          <t>FY2031E</t>
        </is>
      </c>
      <c r="K1" s="2" t="inlineStr">
        <is>
          <t>Source / note</t>
        </is>
      </c>
    </row>
    <row r="2">
      <c r="A2" s="3" t="inlineStr">
        <is>
          <t>Net interest income</t>
        </is>
      </c>
      <c r="B2" s="4" t="n">
        <v>2544.7242</v>
      </c>
      <c r="C2" s="4" t="n">
        <v>3079.7606</v>
      </c>
      <c r="D2" s="4" t="n">
        <v>3251.6126</v>
      </c>
      <c r="E2" s="4" t="n">
        <v>3391.1694</v>
      </c>
      <c r="F2" s="5" t="n">
        <v>3963.9174</v>
      </c>
      <c r="G2" s="5" t="n">
        <v>4755.3796</v>
      </c>
      <c r="H2" s="5" t="n">
        <v>5677.1752</v>
      </c>
      <c r="I2" s="5" t="n">
        <v>6611.6853</v>
      </c>
      <c r="J2" s="5" t="n">
        <v>7634.0477</v>
      </c>
      <c r="K2" s="3" t="inlineStr">
        <is>
          <t>Interest earned - interest expended (P&amp;L)</t>
        </is>
      </c>
    </row>
    <row r="3">
      <c r="A3" t="inlineStr">
        <is>
          <t>Other income</t>
        </is>
      </c>
      <c r="B3" s="6" t="n">
        <v>669.5857</v>
      </c>
      <c r="C3" s="6" t="n">
        <v>798.6706</v>
      </c>
      <c r="D3" s="6" t="n">
        <v>911.4891</v>
      </c>
      <c r="E3" s="6" t="n">
        <v>1073.5472</v>
      </c>
      <c r="F3" s="7" t="n">
        <v>1189.1752</v>
      </c>
      <c r="G3" s="7" t="n">
        <v>1403.2268</v>
      </c>
      <c r="H3" s="7" t="n">
        <v>1648.2121</v>
      </c>
      <c r="I3" s="7" t="n">
        <v>1919.5215</v>
      </c>
      <c r="J3" s="7" t="n">
        <v>2216.3364</v>
      </c>
      <c r="K3" t="inlineStr">
        <is>
          <t>P&amp;L</t>
        </is>
      </c>
    </row>
    <row r="4">
      <c r="A4" t="inlineStr">
        <is>
          <t>Operating expenses</t>
        </is>
      </c>
      <c r="B4" s="6" t="n">
        <v>2038.3024</v>
      </c>
      <c r="C4" s="6" t="n">
        <v>2501.0668</v>
      </c>
      <c r="D4" s="6" t="n">
        <v>2828.8345</v>
      </c>
      <c r="E4" s="6" t="n">
        <v>3199.748</v>
      </c>
      <c r="F4" s="7" t="n">
        <v>3633.591</v>
      </c>
      <c r="G4" s="7" t="n">
        <v>4209.6803</v>
      </c>
      <c r="H4" s="7" t="n">
        <v>4853.0691</v>
      </c>
      <c r="I4" s="7" t="n">
        <v>5545.2844</v>
      </c>
      <c r="J4" s="7" t="n">
        <v>6279.6199</v>
      </c>
      <c r="K4" t="inlineStr">
        <is>
          <t>P&amp;L</t>
        </is>
      </c>
    </row>
    <row r="5">
      <c r="A5" s="3" t="inlineStr">
        <is>
          <t>Pre-provision operating profit</t>
        </is>
      </c>
      <c r="B5" s="4" t="n">
        <v>1176.0075</v>
      </c>
      <c r="C5" s="4" t="n">
        <v>1377.3644</v>
      </c>
      <c r="D5" s="4" t="n">
        <v>1334.2672</v>
      </c>
      <c r="E5" s="4" t="n">
        <v>1264.9686</v>
      </c>
      <c r="F5" s="5" t="n">
        <v>1519.5017</v>
      </c>
      <c r="G5" s="5" t="n">
        <v>1948.9261</v>
      </c>
      <c r="H5" s="5" t="n">
        <v>2472.3182</v>
      </c>
      <c r="I5" s="5" t="n">
        <v>2985.9224</v>
      </c>
      <c r="J5" s="5" t="n">
        <v>3570.7643</v>
      </c>
      <c r="K5" s="3" t="inlineStr">
        <is>
          <t>ties to MD&amp;A operating profit</t>
        </is>
      </c>
    </row>
    <row r="6">
      <c r="A6" t="inlineStr">
        <is>
          <t>Credit cost (provisions &amp; write-offs excl. tax)</t>
        </is>
      </c>
      <c r="B6" s="6" t="n">
        <v>407.197</v>
      </c>
      <c r="C6" s="6" t="n">
        <v>314.2342</v>
      </c>
      <c r="D6" s="6" t="n">
        <v>1135.4173</v>
      </c>
      <c r="E6" s="6" t="n">
        <v>1136.8358</v>
      </c>
      <c r="F6" s="7" t="n">
        <v>792.7835</v>
      </c>
      <c r="G6" s="7" t="n">
        <v>857.5275</v>
      </c>
      <c r="H6" s="7" t="n">
        <v>1007.2408</v>
      </c>
      <c r="I6" s="7" t="n">
        <v>1173.0409</v>
      </c>
      <c r="J6" s="7" t="n">
        <v>1354.4278</v>
      </c>
      <c r="K6" t="inlineStr">
        <is>
          <t>note 18.14(f) less tax</t>
        </is>
      </c>
    </row>
    <row r="7">
      <c r="A7" t="inlineStr">
        <is>
          <t>Profit before tax</t>
        </is>
      </c>
      <c r="B7" s="6" t="n">
        <v>768.8105</v>
      </c>
      <c r="C7" s="6" t="n">
        <v>1063.1302</v>
      </c>
      <c r="D7" s="6" t="n">
        <v>198.8499</v>
      </c>
      <c r="E7" s="6" t="n">
        <v>128.1328</v>
      </c>
      <c r="F7" s="7" t="n">
        <v>726.7182</v>
      </c>
      <c r="G7" s="7" t="n">
        <v>1091.3986</v>
      </c>
      <c r="H7" s="7" t="n">
        <v>1465.0775</v>
      </c>
      <c r="I7" s="7" t="n">
        <v>1812.8815</v>
      </c>
      <c r="J7" s="7" t="n">
        <v>2216.3364</v>
      </c>
      <c r="K7" t="inlineStr"/>
    </row>
    <row r="8">
      <c r="A8" t="inlineStr">
        <is>
          <t>Tax</t>
        </is>
      </c>
      <c r="B8" s="6" t="n">
        <v>195.22</v>
      </c>
      <c r="C8" s="6" t="n">
        <v>264.17</v>
      </c>
      <c r="D8" s="6" t="n">
        <v>51.8</v>
      </c>
      <c r="E8" s="6" t="n">
        <v>25.05</v>
      </c>
      <c r="F8" s="7" t="n">
        <v>182.915</v>
      </c>
      <c r="G8" s="7" t="n">
        <v>274.705</v>
      </c>
      <c r="H8" s="7" t="n">
        <v>368.76</v>
      </c>
      <c r="I8" s="7" t="n">
        <v>456.3023</v>
      </c>
      <c r="J8" s="7" t="n">
        <v>557.8519</v>
      </c>
      <c r="K8" t="inlineStr">
        <is>
          <t>note 18.14(f) tax + deferred tax</t>
        </is>
      </c>
    </row>
    <row r="9">
      <c r="A9" s="3" t="inlineStr">
        <is>
          <t>PROFIT AFTER TAX</t>
        </is>
      </c>
      <c r="B9" s="4" t="n">
        <v>573.5905</v>
      </c>
      <c r="C9" s="4" t="n">
        <v>798.9602</v>
      </c>
      <c r="D9" s="4" t="n">
        <v>147.0499</v>
      </c>
      <c r="E9" s="4" t="n">
        <v>103.0828</v>
      </c>
      <c r="F9" s="5" t="n">
        <v>543.8031999999999</v>
      </c>
      <c r="G9" s="5" t="n">
        <v>816.6935999999999</v>
      </c>
      <c r="H9" s="5" t="n">
        <v>1096.3175</v>
      </c>
      <c r="I9" s="5" t="n">
        <v>1356.5792</v>
      </c>
      <c r="J9" s="5" t="n">
        <v>1658.4846</v>
      </c>
      <c r="K9" s="3" t="inlineStr">
        <is>
          <t>P&amp;L (tied)</t>
        </is>
      </c>
    </row>
    <row r="10">
      <c r="A10" t="inlineStr">
        <is>
          <t>Dividend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7" t="n">
        <v>0</v>
      </c>
      <c r="G10" s="7" t="n">
        <v>81.6694</v>
      </c>
      <c r="H10" s="7" t="n">
        <v>109.6317</v>
      </c>
      <c r="I10" s="7" t="n">
        <v>135.6579</v>
      </c>
      <c r="J10" s="7" t="n">
        <v>165.8485</v>
      </c>
      <c r="K10" t="inlineStr">
        <is>
          <t>none declared FY2025-26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2" t="inlineStr">
        <is>
          <t>Rs crore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FY2027E</t>
        </is>
      </c>
      <c r="G1" s="2" t="inlineStr">
        <is>
          <t>FY2028E</t>
        </is>
      </c>
      <c r="H1" s="2" t="inlineStr">
        <is>
          <t>FY2029E</t>
        </is>
      </c>
      <c r="I1" s="2" t="inlineStr">
        <is>
          <t>FY2030E</t>
        </is>
      </c>
      <c r="J1" s="2" t="inlineStr">
        <is>
          <t>FY2031E</t>
        </is>
      </c>
      <c r="K1" s="2" t="inlineStr">
        <is>
          <t>Source / note</t>
        </is>
      </c>
    </row>
    <row r="2">
      <c r="A2" t="inlineStr">
        <is>
          <t>Advances (net)</t>
        </is>
      </c>
      <c r="B2" s="6" t="n">
        <v>25798.5566</v>
      </c>
      <c r="C2" s="6" t="n">
        <v>30964.2999</v>
      </c>
      <c r="D2" s="6" t="n">
        <v>36208.8881</v>
      </c>
      <c r="E2" s="6" t="n">
        <v>42751.2876</v>
      </c>
      <c r="F2" s="7" t="n">
        <v>50446.5194</v>
      </c>
      <c r="G2" s="7" t="n">
        <v>59526.8929</v>
      </c>
      <c r="H2" s="7" t="n">
        <v>69646.46460000001</v>
      </c>
      <c r="I2" s="7" t="n">
        <v>80789.899</v>
      </c>
      <c r="J2" s="7" t="n">
        <v>92908.3838</v>
      </c>
      <c r="K2" t="inlineStr"/>
    </row>
    <row r="3">
      <c r="A3" t="inlineStr">
        <is>
          <t>Investments</t>
        </is>
      </c>
      <c r="B3" s="6" t="n">
        <v>6664.5624</v>
      </c>
      <c r="C3" s="6" t="n">
        <v>9065.272300000001</v>
      </c>
      <c r="D3" s="6" t="n">
        <v>9288.685100000001</v>
      </c>
      <c r="E3" s="6" t="n">
        <v>10148.8271</v>
      </c>
      <c r="F3" s="7" t="n">
        <v>11975.616</v>
      </c>
      <c r="G3" s="7" t="n">
        <v>14131.2269</v>
      </c>
      <c r="H3" s="7" t="n">
        <v>16533.5354</v>
      </c>
      <c r="I3" s="7" t="n">
        <v>19178.9011</v>
      </c>
      <c r="J3" s="7" t="n">
        <v>22055.7362</v>
      </c>
      <c r="K3" t="inlineStr"/>
    </row>
    <row r="4">
      <c r="A4" t="inlineStr">
        <is>
          <t>Cash, RBI and bank balances</t>
        </is>
      </c>
      <c r="B4" s="6" t="n">
        <v>1244.2577</v>
      </c>
      <c r="C4" s="6" t="n">
        <v>3578.9516</v>
      </c>
      <c r="D4" s="6" t="n">
        <v>5536.2993</v>
      </c>
      <c r="E4" s="6" t="n">
        <v>5666.2847</v>
      </c>
      <c r="F4" s="7" t="n">
        <v>6686.2159</v>
      </c>
      <c r="G4" s="7" t="n">
        <v>7889.7348</v>
      </c>
      <c r="H4" s="7" t="n">
        <v>9230.9897</v>
      </c>
      <c r="I4" s="7" t="n">
        <v>10707.9481</v>
      </c>
      <c r="J4" s="7" t="n">
        <v>12314.1403</v>
      </c>
      <c r="K4" t="inlineStr"/>
    </row>
    <row r="5">
      <c r="A5" t="inlineStr">
        <is>
          <t>Fixed and other assets</t>
        </is>
      </c>
      <c r="B5" s="6" t="n">
        <v>1250.7519</v>
      </c>
      <c r="C5" s="6" t="n">
        <v>1695.3461</v>
      </c>
      <c r="D5" s="6" t="n">
        <v>1801.7619</v>
      </c>
      <c r="E5" s="6" t="n">
        <v>2043.959</v>
      </c>
      <c r="F5" s="7" t="n">
        <v>2411.8716</v>
      </c>
      <c r="G5" s="7" t="n">
        <v>2846.0085</v>
      </c>
      <c r="H5" s="7" t="n">
        <v>3329.83</v>
      </c>
      <c r="I5" s="7" t="n">
        <v>3862.6028</v>
      </c>
      <c r="J5" s="7" t="n">
        <v>4441.9932</v>
      </c>
      <c r="K5" t="inlineStr"/>
    </row>
    <row r="6">
      <c r="A6" s="3" t="inlineStr">
        <is>
          <t>TOTAL ASSETS</t>
        </is>
      </c>
      <c r="B6" s="4" t="n">
        <v>34958.1286</v>
      </c>
      <c r="C6" s="4" t="n">
        <v>45303.8699</v>
      </c>
      <c r="D6" s="4" t="n">
        <v>52835.6344</v>
      </c>
      <c r="E6" s="4" t="n">
        <v>60610.3584</v>
      </c>
      <c r="F6" s="5" t="n">
        <v>71520.22289999999</v>
      </c>
      <c r="G6" s="5" t="n">
        <v>84393.863</v>
      </c>
      <c r="H6" s="5" t="n">
        <v>98740.8198</v>
      </c>
      <c r="I6" s="5" t="n">
        <v>114539.3509</v>
      </c>
      <c r="J6" s="5" t="n">
        <v>131720.2535</v>
      </c>
      <c r="K6" s="3" t="inlineStr"/>
    </row>
    <row r="7">
      <c r="A7" s="3" t="inlineStr">
        <is>
          <t>Net worth</t>
        </is>
      </c>
      <c r="B7" s="4" t="n">
        <v>5157.9477</v>
      </c>
      <c r="C7" s="4" t="n">
        <v>5968.7019</v>
      </c>
      <c r="D7" s="4" t="n">
        <v>6072.5203</v>
      </c>
      <c r="E7" s="4" t="n">
        <v>6124.8326</v>
      </c>
      <c r="F7" s="5" t="n">
        <v>6668.6358</v>
      </c>
      <c r="G7" s="5" t="n">
        <v>7403.66</v>
      </c>
      <c r="H7" s="5" t="n">
        <v>8390.345799999999</v>
      </c>
      <c r="I7" s="5" t="n">
        <v>9611.267</v>
      </c>
      <c r="J7" s="5" t="n">
        <v>11103.9031</v>
      </c>
      <c r="K7" s="3" t="inlineStr"/>
    </row>
    <row r="8">
      <c r="A8" t="inlineStr">
        <is>
          <t>Tangible net worth (less DTA and software)</t>
        </is>
      </c>
      <c r="B8" s="6" t="n">
        <v>4796.8452</v>
      </c>
      <c r="C8" s="6" t="n">
        <v>5537.3749</v>
      </c>
      <c r="D8" s="6" t="n">
        <v>5592.5733</v>
      </c>
      <c r="E8" s="6" t="n">
        <v>5582.455</v>
      </c>
      <c r="F8" s="7" t="n">
        <v>6126.2582</v>
      </c>
      <c r="G8" s="7" t="n">
        <v>6861.2824</v>
      </c>
      <c r="H8" s="7" t="n">
        <v>7847.9682</v>
      </c>
      <c r="I8" s="7" t="n">
        <v>9068.8894</v>
      </c>
      <c r="J8" s="7" t="n">
        <v>10561.5255</v>
      </c>
      <c r="K8" t="inlineStr">
        <is>
          <t>balance sheet / tangible net worth tied to Reg 52(4)</t>
        </is>
      </c>
    </row>
    <row r="9">
      <c r="A9" t="inlineStr">
        <is>
          <t>Deposits</t>
        </is>
      </c>
      <c r="B9" s="6" t="n">
        <v>25348.4826</v>
      </c>
      <c r="C9" s="6" t="n">
        <v>36129.2022</v>
      </c>
      <c r="D9" s="6" t="n">
        <v>43102.3127</v>
      </c>
      <c r="E9" s="6" t="n">
        <v>46533.0888</v>
      </c>
      <c r="F9" s="7" t="n">
        <v>56506.7704</v>
      </c>
      <c r="G9" s="7" t="n">
        <v>68182.3783</v>
      </c>
      <c r="H9" s="7" t="n">
        <v>81026.6526</v>
      </c>
      <c r="I9" s="7" t="n">
        <v>95036.0591</v>
      </c>
      <c r="J9" s="7" t="n">
        <v>110106.4044</v>
      </c>
      <c r="K9" t="inlineStr"/>
    </row>
    <row r="10">
      <c r="A10" t="inlineStr">
        <is>
          <t>Borrowings (incl. Lower Tier II bonds)</t>
        </is>
      </c>
      <c r="B10" s="6" t="n">
        <v>2973.76</v>
      </c>
      <c r="C10" s="6" t="n">
        <v>1787.53</v>
      </c>
      <c r="D10" s="6" t="n">
        <v>2136.99</v>
      </c>
      <c r="E10" s="6" t="n">
        <v>5772.55</v>
      </c>
      <c r="F10" s="7" t="n">
        <v>5772.55</v>
      </c>
      <c r="G10" s="7" t="n">
        <v>5772.55</v>
      </c>
      <c r="H10" s="7" t="n">
        <v>5772.55</v>
      </c>
      <c r="I10" s="7" t="n">
        <v>5772.55</v>
      </c>
      <c r="J10" s="7" t="n">
        <v>5772.55</v>
      </c>
      <c r="K10" t="inlineStr"/>
    </row>
    <row r="11">
      <c r="A11" t="inlineStr">
        <is>
          <t>Other liabilities and provisions</t>
        </is>
      </c>
      <c r="B11" s="6" t="n">
        <v>1477.9383</v>
      </c>
      <c r="C11" s="6" t="n">
        <v>1418.4358</v>
      </c>
      <c r="D11" s="6" t="n">
        <v>1523.8114</v>
      </c>
      <c r="E11" s="6" t="n">
        <v>2179.887</v>
      </c>
      <c r="F11" s="7" t="n">
        <v>2572.2667</v>
      </c>
      <c r="G11" s="7" t="n">
        <v>3035.2747</v>
      </c>
      <c r="H11" s="7" t="n">
        <v>3551.2714</v>
      </c>
      <c r="I11" s="7" t="n">
        <v>4119.4748</v>
      </c>
      <c r="J11" s="7" t="n">
        <v>4737.396</v>
      </c>
      <c r="K11" t="inlineStr"/>
    </row>
    <row r="12">
      <c r="A12" t="inlineStr">
        <is>
          <t>Check: assets - (net worth + deposits + borrowings + other liabilities)</t>
        </is>
      </c>
      <c r="B12" s="6" t="n">
        <v>-0</v>
      </c>
      <c r="C12" s="6" t="n">
        <v>0</v>
      </c>
      <c r="D12" s="6" t="n">
        <v>-0</v>
      </c>
      <c r="E12" s="6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t="inlineStr">
        <is>
          <t>must be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2" t="inlineStr">
        <is>
          <t>Rs crore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FY2027E</t>
        </is>
      </c>
      <c r="G1" s="2" t="inlineStr">
        <is>
          <t>FY2028E</t>
        </is>
      </c>
      <c r="H1" s="2" t="inlineStr">
        <is>
          <t>FY2029E</t>
        </is>
      </c>
      <c r="I1" s="2" t="inlineStr">
        <is>
          <t>FY2030E</t>
        </is>
      </c>
      <c r="J1" s="2" t="inlineStr">
        <is>
          <t>FY2031E</t>
        </is>
      </c>
      <c r="K1" s="2" t="inlineStr">
        <is>
          <t>Source / note</t>
        </is>
      </c>
    </row>
    <row r="2">
      <c r="A2" t="inlineStr">
        <is>
          <t>Tier I capital (CET1)</t>
        </is>
      </c>
      <c r="B2" s="6" t="n">
        <v>4583.58</v>
      </c>
      <c r="C2" s="6" t="n">
        <v>5128.39</v>
      </c>
      <c r="D2" s="6" t="n">
        <v>5273.89</v>
      </c>
      <c r="E2" s="6" t="n">
        <v>5342.21</v>
      </c>
      <c r="F2" s="7" t="n">
        <v>5886.0132</v>
      </c>
      <c r="G2" s="7" t="n">
        <v>6621.0374</v>
      </c>
      <c r="H2" s="7" t="n">
        <v>7607.7232</v>
      </c>
      <c r="I2" s="7" t="n">
        <v>8828.644399999999</v>
      </c>
      <c r="J2" s="7" t="n">
        <v>10321.2805</v>
      </c>
      <c r="K2" t="inlineStr">
        <is>
          <t>regulatory capital note; projected = + retained profit</t>
        </is>
      </c>
    </row>
    <row r="3">
      <c r="A3" t="inlineStr">
        <is>
          <t>Tier II capital</t>
        </is>
      </c>
      <c r="B3" s="6" t="n">
        <v>143.67</v>
      </c>
      <c r="C3" s="6" t="n">
        <v>244.32</v>
      </c>
      <c r="D3" s="6" t="n">
        <v>814.95</v>
      </c>
      <c r="E3" s="6" t="n">
        <v>1161.35</v>
      </c>
      <c r="F3" s="7" t="n">
        <v>1161.35</v>
      </c>
      <c r="G3" s="7" t="n">
        <v>1161.35</v>
      </c>
      <c r="H3" s="7" t="n">
        <v>1161.35</v>
      </c>
      <c r="I3" s="7" t="n">
        <v>1161.35</v>
      </c>
      <c r="J3" s="7" t="n">
        <v>1161.35</v>
      </c>
      <c r="K3" t="inlineStr">
        <is>
          <t>regulatory capital note</t>
        </is>
      </c>
    </row>
    <row r="4">
      <c r="A4" t="inlineStr">
        <is>
          <t>Risk-weighted assets</t>
        </is>
      </c>
      <c r="B4" s="6" t="n">
        <v>19864.32</v>
      </c>
      <c r="C4" s="6" t="n">
        <v>24761.88</v>
      </c>
      <c r="D4" s="6" t="n">
        <v>29558.14</v>
      </c>
      <c r="E4" s="6" t="n">
        <v>32028.39</v>
      </c>
      <c r="F4" s="7" t="n">
        <v>37793.5002</v>
      </c>
      <c r="G4" s="7" t="n">
        <v>44596.3302</v>
      </c>
      <c r="H4" s="7" t="n">
        <v>52177.7064</v>
      </c>
      <c r="I4" s="7" t="n">
        <v>60526.1394</v>
      </c>
      <c r="J4" s="7" t="n">
        <v>69605.0603</v>
      </c>
      <c r="K4" t="inlineStr">
        <is>
          <t>regulatory capital note; projected at FY2026 density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2" t="inlineStr">
        <is>
          <t>CareEdge financial-sector ratios (formulas)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FY2027E</t>
        </is>
      </c>
      <c r="G1" s="2" t="inlineStr">
        <is>
          <t>FY2028E</t>
        </is>
      </c>
      <c r="H1" s="2" t="inlineStr">
        <is>
          <t>FY2029E</t>
        </is>
      </c>
      <c r="I1" s="2" t="inlineStr">
        <is>
          <t>FY2030E</t>
        </is>
      </c>
      <c r="J1" s="2" t="inlineStr">
        <is>
          <t>FY2031E</t>
        </is>
      </c>
      <c r="K1" s="2" t="inlineStr">
        <is>
          <t>Source / note</t>
        </is>
      </c>
    </row>
    <row r="2">
      <c r="A2" t="inlineStr">
        <is>
          <t>NIM - NII / avg total assets (%)</t>
        </is>
      </c>
      <c r="B2" s="8" t="n"/>
      <c r="C2" s="8">
        <f>100*'Lending P&amp;L'!C2/(('Balance Sheet'!C6+'Balance Sheet'!B6)/2)</f>
        <v>7.6742684148</v>
      </c>
      <c r="D2" s="8">
        <f>100*'Lending P&amp;L'!D2/(('Balance Sheet'!D6+'Balance Sheet'!C6)/2)</f>
        <v>6.6265111551</v>
      </c>
      <c r="E2" s="8">
        <f>100*'Lending P&amp;L'!E2/(('Balance Sheet'!E6+'Balance Sheet'!D6)/2)</f>
        <v>5.9784736619</v>
      </c>
      <c r="F2" s="9">
        <f>100*'Lending P&amp;L'!F2/(('Balance Sheet'!F6+'Balance Sheet'!E6)/2)</f>
        <v>5.999999941</v>
      </c>
      <c r="G2" s="9">
        <f>100*'Lending P&amp;L'!G2/(('Balance Sheet'!G6+'Balance Sheet'!F6)/2)</f>
        <v>6.0999999744</v>
      </c>
      <c r="H2" s="9">
        <f>100*'Lending P&amp;L'!H2/(('Balance Sheet'!H6+'Balance Sheet'!G6)/2)</f>
        <v>6.2000000363</v>
      </c>
      <c r="I2" s="9">
        <f>100*'Lending P&amp;L'!I2/(('Balance Sheet'!I6+'Balance Sheet'!H6)/2)</f>
        <v>6.2000000078</v>
      </c>
      <c r="J2" s="9">
        <f>100*'Lending P&amp;L'!J2/(('Balance Sheet'!J6+'Balance Sheet'!I6)/2)</f>
        <v>6.1999999704</v>
      </c>
    </row>
    <row r="3">
      <c r="A3" t="inlineStr">
        <is>
          <t>ROTA - PAT / avg total assets (%)</t>
        </is>
      </c>
      <c r="B3" s="8" t="n"/>
      <c r="C3" s="8">
        <f>100*'Lending P&amp;L'!C9/(('Balance Sheet'!C6+'Balance Sheet'!B6)/2)</f>
        <v>1.990880404</v>
      </c>
      <c r="D3" s="8">
        <f>100*'Lending P&amp;L'!D9/(('Balance Sheet'!D6+'Balance Sheet'!C6)/2)</f>
        <v>0.299675245</v>
      </c>
      <c r="E3" s="8">
        <f>100*'Lending P&amp;L'!E9/(('Balance Sheet'!E6+'Balance Sheet'!D6)/2)</f>
        <v>0.1817301739</v>
      </c>
      <c r="F3" s="9">
        <f>100*'Lending P&amp;L'!F9/(('Balance Sheet'!F6+'Balance Sheet'!E6)/2)</f>
        <v>0.8231299592</v>
      </c>
      <c r="G3" s="9">
        <f>100*'Lending P&amp;L'!G9/(('Balance Sheet'!G6+'Balance Sheet'!F6)/2)</f>
        <v>1.0476200342</v>
      </c>
      <c r="H3" s="9">
        <f>100*'Lending P&amp;L'!H9/(('Balance Sheet'!H6+'Balance Sheet'!G6)/2)</f>
        <v>1.1972800381</v>
      </c>
      <c r="I3" s="9">
        <f>100*'Lending P&amp;L'!I9/(('Balance Sheet'!I6+'Balance Sheet'!H6)/2)</f>
        <v>1.2721100096</v>
      </c>
      <c r="J3" s="9">
        <f>100*'Lending P&amp;L'!J9/(('Balance Sheet'!J6+'Balance Sheet'!I6)/2)</f>
        <v>1.3469400343</v>
      </c>
    </row>
    <row r="4">
      <c r="A4" t="inlineStr">
        <is>
          <t>RONW - PAT / avg tangible net worth (%)</t>
        </is>
      </c>
      <c r="B4" s="8" t="n"/>
      <c r="C4" s="8">
        <f>100*'Lending P&amp;L'!C9/(('Balance Sheet'!C8+'Balance Sheet'!B8)/2)</f>
        <v>15.4624188815</v>
      </c>
      <c r="D4" s="8">
        <f>100*'Lending P&amp;L'!D9/(('Balance Sheet'!D8+'Balance Sheet'!C8)/2)</f>
        <v>2.6424184077</v>
      </c>
      <c r="E4" s="8">
        <f>100*'Lending P&amp;L'!E9/(('Balance Sheet'!E8+'Balance Sheet'!D8)/2)</f>
        <v>1.8448776546</v>
      </c>
      <c r="F4" s="9">
        <f>100*'Lending P&amp;L'!F9/(('Balance Sheet'!F8+'Balance Sheet'!E8)/2)</f>
        <v>9.2888636131</v>
      </c>
      <c r="G4" s="9">
        <f>100*'Lending P&amp;L'!G9/(('Balance Sheet'!G8+'Balance Sheet'!F8)/2)</f>
        <v>12.5765705017</v>
      </c>
      <c r="H4" s="9">
        <f>100*'Lending P&amp;L'!H9/(('Balance Sheet'!H8+'Balance Sheet'!G8)/2)</f>
        <v>14.9065038024</v>
      </c>
      <c r="I4" s="9">
        <f>100*'Lending P&amp;L'!I9/(('Balance Sheet'!I8+'Balance Sheet'!H8)/2)</f>
        <v>16.0381937601</v>
      </c>
      <c r="J4" s="9">
        <f>100*'Lending P&amp;L'!J9/(('Balance Sheet'!J8+'Balance Sheet'!I8)/2)</f>
        <v>16.8970916656</v>
      </c>
    </row>
    <row r="5">
      <c r="A5" t="inlineStr">
        <is>
          <t>Credit cost / avg total assets (%)</t>
        </is>
      </c>
      <c r="B5" s="8" t="n"/>
      <c r="C5" s="8">
        <f>100*'Lending P&amp;L'!C6/(('Balance Sheet'!C6+'Balance Sheet'!B6)/2)</f>
        <v>0.7830211205</v>
      </c>
      <c r="D5" s="8">
        <f>100*'Lending P&amp;L'!D6/(('Balance Sheet'!D6+'Balance Sheet'!C6)/2)</f>
        <v>2.3138843182</v>
      </c>
      <c r="E5" s="8">
        <f>100*'Lending P&amp;L'!E6/(('Balance Sheet'!E6+'Balance Sheet'!D6)/2)</f>
        <v>2.0041885516</v>
      </c>
      <c r="F5" s="9">
        <f>100*'Lending P&amp;L'!F6/(('Balance Sheet'!F6+'Balance Sheet'!E6)/2)</f>
        <v>1.2000000185</v>
      </c>
      <c r="G5" s="9">
        <f>100*'Lending P&amp;L'!G6/(('Balance Sheet'!G6+'Balance Sheet'!F6)/2)</f>
        <v>1.1000000353</v>
      </c>
      <c r="H5" s="9">
        <f>100*'Lending P&amp;L'!H6/(('Balance Sheet'!H6+'Balance Sheet'!G6)/2)</f>
        <v>1.1000000487</v>
      </c>
      <c r="I5" s="9">
        <f>100*'Lending P&amp;L'!I6/(('Balance Sheet'!I6+'Balance Sheet'!H6)/2)</f>
        <v>1.0999999636</v>
      </c>
      <c r="J5" s="9">
        <f>100*'Lending P&amp;L'!J6/(('Balance Sheet'!J6+'Balance Sheet'!I6)/2)</f>
        <v>1.0999999803</v>
      </c>
    </row>
    <row r="6">
      <c r="A6" t="inlineStr">
        <is>
          <t>Opex / avg total assets (%)</t>
        </is>
      </c>
      <c r="B6" s="8" t="n"/>
      <c r="C6" s="8">
        <f>100*'Lending P&amp;L'!C4/(('Balance Sheet'!C6+'Balance Sheet'!B6)/2)</f>
        <v>6.2322564769</v>
      </c>
      <c r="D6" s="8">
        <f>100*'Lending P&amp;L'!D4/(('Balance Sheet'!D6+'Balance Sheet'!C6)/2)</f>
        <v>5.7649251852</v>
      </c>
      <c r="E6" s="8">
        <f>100*'Lending P&amp;L'!E4/(('Balance Sheet'!E6+'Balance Sheet'!D6)/2)</f>
        <v>5.6410066518</v>
      </c>
      <c r="F6" s="9">
        <f>100*'Lending P&amp;L'!F4/(('Balance Sheet'!F6+'Balance Sheet'!E6)/2)</f>
        <v>5.5000000216</v>
      </c>
      <c r="G6" s="9">
        <f>100*'Lending P&amp;L'!G4/(('Balance Sheet'!G6+'Balance Sheet'!F6)/2)</f>
        <v>5.3999999752</v>
      </c>
      <c r="H6" s="9">
        <f>100*'Lending P&amp;L'!H4/(('Balance Sheet'!H6+'Balance Sheet'!G6)/2)</f>
        <v>5.3000000063</v>
      </c>
      <c r="I6" s="9">
        <f>100*'Lending P&amp;L'!I4/(('Balance Sheet'!I6+'Balance Sheet'!H6)/2)</f>
        <v>5.1999999642</v>
      </c>
      <c r="J6" s="9">
        <f>100*'Lending P&amp;L'!J4/(('Balance Sheet'!J6+'Balance Sheet'!I6)/2)</f>
        <v>5.0999999901</v>
      </c>
    </row>
    <row r="7">
      <c r="A7" t="inlineStr">
        <is>
          <t>Cost to income - opex / (NII + other income) (%)</t>
        </is>
      </c>
      <c r="B7" s="8">
        <f>100*'Lending P&amp;L'!B4/('Lending P&amp;L'!B2+'Lending P&amp;L'!B3)</f>
        <v>63.413375294</v>
      </c>
      <c r="C7" s="8">
        <f>100*'Lending P&amp;L'!C4/('Lending P&amp;L'!C2+'Lending P&amp;L'!C3)</f>
        <v>64.4865583796</v>
      </c>
      <c r="D7" s="8">
        <f>100*'Lending P&amp;L'!D4/('Lending P&amp;L'!D2+'Lending P&amp;L'!D3)</f>
        <v>67.9501656181</v>
      </c>
      <c r="E7" s="8">
        <f>100*'Lending P&amp;L'!E4/('Lending P&amp;L'!E2+'Lending P&amp;L'!E3)</f>
        <v>71.6674379736</v>
      </c>
      <c r="F7" s="9">
        <f>100*'Lending P&amp;L'!F4/('Lending P&amp;L'!F2+'Lending P&amp;L'!F3)</f>
        <v>70.5128217568</v>
      </c>
      <c r="G7" s="9">
        <f>100*'Lending P&amp;L'!G4/('Lending P&amp;L'!G2+'Lending P&amp;L'!G3)</f>
        <v>68.3544299892</v>
      </c>
      <c r="H7" s="9">
        <f>100*'Lending P&amp;L'!H4/('Lending P&amp;L'!H2+'Lending P&amp;L'!H3)</f>
        <v>66.2500001877</v>
      </c>
      <c r="I7" s="9">
        <f>100*'Lending P&amp;L'!I4/('Lending P&amp;L'!I2+'Lending P&amp;L'!I3)</f>
        <v>64.9999997656</v>
      </c>
      <c r="J7" s="9">
        <f>100*'Lending P&amp;L'!J4/('Lending P&amp;L'!J2+'Lending P&amp;L'!J3)</f>
        <v>63.750000368</v>
      </c>
    </row>
    <row r="8">
      <c r="A8" t="inlineStr">
        <is>
          <t>CRAR - (Tier I + Tier II) / RWA (%)</t>
        </is>
      </c>
      <c r="B8" s="8">
        <f>100*('Capital'!B2+'Capital'!B3)/'Capital'!B4</f>
        <v>23.7976935531</v>
      </c>
      <c r="C8" s="8">
        <f>100*('Capital'!C2+'Capital'!C3)/'Capital'!C4</f>
        <v>21.6975043898</v>
      </c>
      <c r="D8" s="8">
        <f>100*('Capital'!D2+'Capital'!D3)/'Capital'!D4</f>
        <v>20.599537048</v>
      </c>
      <c r="E8" s="8">
        <f>100*('Capital'!E2+'Capital'!E3)/'Capital'!E4</f>
        <v>20.3056101165</v>
      </c>
      <c r="F8" s="9">
        <f>100*('Capital'!F2+'Capital'!F3)/'Capital'!F4</f>
        <v>18.6470243897</v>
      </c>
      <c r="G8" s="9">
        <f>100*('Capital'!G2+'Capital'!G3)/'Capital'!G4</f>
        <v>17.4507349934</v>
      </c>
      <c r="H8" s="9">
        <f>100*('Capital'!H2+'Capital'!H3)/'Capital'!H4</f>
        <v>16.8061683907</v>
      </c>
      <c r="I8" s="9">
        <f>100*('Capital'!I2+'Capital'!I3)/'Capital'!I4</f>
        <v>16.5052562398</v>
      </c>
      <c r="J8" s="9">
        <f>100*('Capital'!J2+'Capital'!J3)/'Capital'!J4</f>
        <v>16.4968329178</v>
      </c>
    </row>
    <row r="9">
      <c r="A9" t="inlineStr">
        <is>
          <t>Tier I / RWA (%)</t>
        </is>
      </c>
      <c r="B9" s="8">
        <f>100*'Capital'!B2/'Capital'!B4</f>
        <v>23.0744369805</v>
      </c>
      <c r="C9" s="8">
        <f>100*'Capital'!C2/'Capital'!C4</f>
        <v>20.7108264801</v>
      </c>
      <c r="D9" s="8">
        <f>100*'Capital'!D2/'Capital'!D4</f>
        <v>17.8424285155</v>
      </c>
      <c r="E9" s="8">
        <f>100*'Capital'!E2/'Capital'!E4</f>
        <v>16.67960831</v>
      </c>
      <c r="F9" s="9">
        <f>100*'Capital'!F2/'Capital'!F4</f>
        <v>15.5741415028</v>
      </c>
      <c r="G9" s="9">
        <f>100*'Capital'!G2/'Capital'!G4</f>
        <v>14.8465969516</v>
      </c>
      <c r="H9" s="9">
        <f>100*'Capital'!H2/'Capital'!H4</f>
        <v>14.5804093834</v>
      </c>
      <c r="I9" s="9">
        <f>100*'Capital'!I2/'Capital'!I4</f>
        <v>14.5864984741</v>
      </c>
      <c r="J9" s="9">
        <f>100*'Capital'!J2/'Capital'!J4</f>
        <v>14.8283479039</v>
      </c>
    </row>
    <row r="10">
      <c r="A10" t="inlineStr">
        <is>
          <t>Overall gearing - (deposits + borrowings) / TNW (x)</t>
        </is>
      </c>
      <c r="B10" s="8">
        <f>('Balance Sheet'!B9+'Balance Sheet'!B10)/'Balance Sheet'!B8</f>
        <v>5.904347841</v>
      </c>
      <c r="C10" s="8">
        <f>('Balance Sheet'!C9+'Balance Sheet'!C10)/'Balance Sheet'!C8</f>
        <v>6.8474201015</v>
      </c>
      <c r="D10" s="8">
        <f>('Balance Sheet'!D9+'Balance Sheet'!D10)/'Balance Sheet'!D8</f>
        <v>8.0891747454</v>
      </c>
      <c r="E10" s="8">
        <f>('Balance Sheet'!E9+'Balance Sheet'!E10)/'Balance Sheet'!E8</f>
        <v>9.3696480849</v>
      </c>
      <c r="F10" s="9">
        <f>('Balance Sheet'!F9+'Balance Sheet'!F10)/'Balance Sheet'!F8</f>
        <v>10.1659640137</v>
      </c>
      <c r="G10" s="9">
        <f>('Balance Sheet'!G9+'Balance Sheet'!G10)/'Balance Sheet'!G8</f>
        <v>10.7785868572</v>
      </c>
      <c r="H10" s="9">
        <f>('Balance Sheet'!H9+'Balance Sheet'!H10)/'Balance Sheet'!H8</f>
        <v>11.0600859213</v>
      </c>
      <c r="I10" s="9">
        <f>('Balance Sheet'!I9+'Balance Sheet'!I10)/'Balance Sheet'!I8</f>
        <v>11.115871487</v>
      </c>
      <c r="J10" s="9">
        <f>('Balance Sheet'!J9+'Balance Sheet'!J10)/'Balance Sheet'!J8</f>
        <v>10.9718008445</v>
      </c>
    </row>
    <row r="11">
      <c r="A11" t="inlineStr">
        <is>
          <t>Credit / deposit (%)</t>
        </is>
      </c>
      <c r="B11" s="8">
        <f>100*'Balance Sheet'!B2/'Balance Sheet'!B9</f>
        <v>101.7755461228</v>
      </c>
      <c r="C11" s="8">
        <f>100*'Balance Sheet'!C2/'Balance Sheet'!C9</f>
        <v>85.7043555199</v>
      </c>
      <c r="D11" s="8">
        <f>100*'Balance Sheet'!D2/'Balance Sheet'!D9</f>
        <v>84.0068335823</v>
      </c>
      <c r="E11" s="8">
        <f>100*'Balance Sheet'!E2/'Balance Sheet'!E9</f>
        <v>91.8728773492</v>
      </c>
      <c r="F11" s="9">
        <f>100*'Balance Sheet'!F2/'Balance Sheet'!F9</f>
        <v>89.2751771919</v>
      </c>
      <c r="G11" s="9">
        <f>100*'Balance Sheet'!G2/'Balance Sheet'!G9</f>
        <v>87.305392367</v>
      </c>
      <c r="H11" s="9">
        <f>100*'Balance Sheet'!H2/'Balance Sheet'!H9</f>
        <v>85.9550066122</v>
      </c>
      <c r="I11" s="9">
        <f>100*'Balance Sheet'!I2/'Balance Sheet'!I9</f>
        <v>85.0097318482</v>
      </c>
      <c r="J11" s="9">
        <f>100*'Balance Sheet'!J2/'Balance Sheet'!J9</f>
        <v>84.3805447161</v>
      </c>
    </row>
    <row r="13">
      <c r="A13" t="inlineStr">
        <is>
          <t>SFB regulatory minimum: CRAR 15%, Tier I 7.5% (Basel II); leverage ratio 4.5% (CareEdge Banks methodology, March 2025).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2" t="inlineStr">
        <is>
          <t>Scenario / metric</t>
        </is>
      </c>
      <c r="B1" s="2" t="inlineStr">
        <is>
          <t>FY2027E</t>
        </is>
      </c>
      <c r="C1" s="2" t="inlineStr">
        <is>
          <t>FY2028E</t>
        </is>
      </c>
      <c r="D1" s="2" t="inlineStr">
        <is>
          <t>FY2029E</t>
        </is>
      </c>
      <c r="E1" s="2" t="inlineStr">
        <is>
          <t>FY2030E</t>
        </is>
      </c>
      <c r="F1" s="2" t="inlineStr">
        <is>
          <t>FY2031E</t>
        </is>
      </c>
    </row>
    <row r="2">
      <c r="A2" s="3" t="inlineStr">
        <is>
          <t>BASE</t>
        </is>
      </c>
    </row>
    <row r="3">
      <c r="A3" t="inlineStr">
        <is>
          <t>Gross advances growth (%)</t>
        </is>
      </c>
      <c r="B3" t="n">
        <v>18</v>
      </c>
      <c r="C3" t="n">
        <v>18</v>
      </c>
      <c r="D3" t="n">
        <v>17</v>
      </c>
      <c r="E3" t="n">
        <v>16</v>
      </c>
      <c r="F3" t="n">
        <v>15</v>
      </c>
    </row>
    <row r="4">
      <c r="A4" t="inlineStr">
        <is>
          <t>PAT</t>
        </is>
      </c>
      <c r="B4" t="n">
        <v>543.8</v>
      </c>
      <c r="C4" t="n">
        <v>816.6900000000001</v>
      </c>
      <c r="D4" t="n">
        <v>1096.32</v>
      </c>
      <c r="E4" t="n">
        <v>1356.58</v>
      </c>
      <c r="F4" t="n">
        <v>1658.48</v>
      </c>
    </row>
    <row r="5">
      <c r="A5" t="inlineStr">
        <is>
          <t>ROTA (%)</t>
        </is>
      </c>
      <c r="B5" t="n">
        <v>0.82</v>
      </c>
      <c r="C5" t="n">
        <v>1.05</v>
      </c>
      <c r="D5" t="n">
        <v>1.2</v>
      </c>
      <c r="E5" t="n">
        <v>1.27</v>
      </c>
      <c r="F5" t="n">
        <v>1.35</v>
      </c>
    </row>
    <row r="6">
      <c r="A6" t="inlineStr">
        <is>
          <t>Credit cost / ATA (%)</t>
        </is>
      </c>
      <c r="B6" t="n">
        <v>1.2</v>
      </c>
      <c r="C6" t="n">
        <v>1.1</v>
      </c>
      <c r="D6" t="n">
        <v>1.1</v>
      </c>
      <c r="E6" t="n">
        <v>1.1</v>
      </c>
      <c r="F6" t="n">
        <v>1.1</v>
      </c>
    </row>
    <row r="7">
      <c r="A7" t="inlineStr">
        <is>
          <t>Tier I (%)</t>
        </is>
      </c>
      <c r="B7" t="n">
        <v>15.57</v>
      </c>
      <c r="C7" t="n">
        <v>14.85</v>
      </c>
      <c r="D7" t="n">
        <v>14.58</v>
      </c>
      <c r="E7" t="n">
        <v>14.59</v>
      </c>
      <c r="F7" t="n">
        <v>14.83</v>
      </c>
    </row>
    <row r="8">
      <c r="A8" t="inlineStr">
        <is>
          <t>CRAR (%)</t>
        </is>
      </c>
      <c r="B8" t="n">
        <v>18.65</v>
      </c>
      <c r="C8" t="n">
        <v>17.45</v>
      </c>
      <c r="D8" t="n">
        <v>16.81</v>
      </c>
      <c r="E8" t="n">
        <v>16.51</v>
      </c>
      <c r="F8" t="n">
        <v>16.5</v>
      </c>
    </row>
    <row r="9">
      <c r="A9" t="inlineStr">
        <is>
          <t>Tangible net worth</t>
        </is>
      </c>
      <c r="B9" t="n">
        <v>6126.26</v>
      </c>
      <c r="C9" t="n">
        <v>6861.28</v>
      </c>
      <c r="D9" t="n">
        <v>7847.97</v>
      </c>
      <c r="E9" t="n">
        <v>9068.889999999999</v>
      </c>
      <c r="F9" t="n">
        <v>10561.53</v>
      </c>
    </row>
    <row r="10">
      <c r="A10" s="3" t="inlineStr">
        <is>
          <t>STRESS (MFI-TYPE SHOCK)</t>
        </is>
      </c>
    </row>
    <row r="11">
      <c r="A11" t="inlineStr">
        <is>
          <t>Gross advances growth (%)</t>
        </is>
      </c>
      <c r="B11" t="n">
        <v>10</v>
      </c>
      <c r="C11" t="n">
        <v>8</v>
      </c>
      <c r="D11" t="n">
        <v>12</v>
      </c>
      <c r="E11" t="n">
        <v>15</v>
      </c>
      <c r="F11" t="n">
        <v>15</v>
      </c>
    </row>
    <row r="12">
      <c r="A12" t="inlineStr">
        <is>
          <t>PAT</t>
        </is>
      </c>
      <c r="B12" t="n">
        <v>-666.71</v>
      </c>
      <c r="C12" t="n">
        <v>-622.63</v>
      </c>
      <c r="D12" t="n">
        <v>228.46</v>
      </c>
      <c r="E12" t="n">
        <v>843.35</v>
      </c>
      <c r="F12" t="n">
        <v>1193.67</v>
      </c>
    </row>
    <row r="13">
      <c r="A13" t="inlineStr">
        <is>
          <t>ROTA (%)</t>
        </is>
      </c>
      <c r="B13" t="n">
        <v>-1.05</v>
      </c>
      <c r="C13" t="n">
        <v>-0.9</v>
      </c>
      <c r="D13" t="n">
        <v>0.3</v>
      </c>
      <c r="E13" t="n">
        <v>0.97</v>
      </c>
      <c r="F13" t="n">
        <v>1.2</v>
      </c>
    </row>
    <row r="14">
      <c r="A14" t="inlineStr">
        <is>
          <t>Credit cost / ATA (%)</t>
        </is>
      </c>
      <c r="B14" t="n">
        <v>3</v>
      </c>
      <c r="C14" t="n">
        <v>2.5</v>
      </c>
      <c r="D14" t="n">
        <v>1.6</v>
      </c>
      <c r="E14" t="n">
        <v>1.2</v>
      </c>
      <c r="F14" t="n">
        <v>1.1</v>
      </c>
    </row>
    <row r="15">
      <c r="A15" t="inlineStr">
        <is>
          <t>Tier I (%)</t>
        </is>
      </c>
      <c r="B15" t="n">
        <v>13.27</v>
      </c>
      <c r="C15" t="n">
        <v>10.65</v>
      </c>
      <c r="D15" t="n">
        <v>10.05</v>
      </c>
      <c r="E15" t="n">
        <v>10.46</v>
      </c>
      <c r="F15" t="n">
        <v>11.21</v>
      </c>
    </row>
    <row r="16">
      <c r="A16" t="inlineStr">
        <is>
          <t>CRAR (%)</t>
        </is>
      </c>
      <c r="B16" t="n">
        <v>16.57</v>
      </c>
      <c r="C16" t="n">
        <v>13.7</v>
      </c>
      <c r="D16" t="n">
        <v>12.77</v>
      </c>
      <c r="E16" t="n">
        <v>12.83</v>
      </c>
      <c r="F16" t="n">
        <v>13.27</v>
      </c>
    </row>
    <row r="17">
      <c r="A17" t="inlineStr">
        <is>
          <t>Tangible net worth</t>
        </is>
      </c>
      <c r="B17" t="n">
        <v>4915.74</v>
      </c>
      <c r="C17" t="n">
        <v>4293.11</v>
      </c>
      <c r="D17" t="n">
        <v>4521.57</v>
      </c>
      <c r="E17" t="n">
        <v>5364.92</v>
      </c>
      <c r="F17" t="n">
        <v>6558.59</v>
      </c>
    </row>
    <row r="18">
      <c r="A18" s="3" t="inlineStr">
        <is>
          <t>TAIL (UTKARSH-TYPE SHOCK)</t>
        </is>
      </c>
    </row>
    <row r="19">
      <c r="A19" t="inlineStr">
        <is>
          <t>Gross advances growth (%)</t>
        </is>
      </c>
      <c r="B19" t="n">
        <v>5</v>
      </c>
      <c r="C19" t="n">
        <v>5</v>
      </c>
      <c r="D19" t="n">
        <v>10</v>
      </c>
      <c r="E19" t="n">
        <v>15</v>
      </c>
      <c r="F19" t="n">
        <v>15</v>
      </c>
    </row>
    <row r="20">
      <c r="A20" t="inlineStr">
        <is>
          <t>PAT</t>
        </is>
      </c>
      <c r="B20" t="n">
        <v>-1580.61</v>
      </c>
      <c r="C20" t="n">
        <v>-1073.89</v>
      </c>
      <c r="D20" t="n">
        <v>-0</v>
      </c>
      <c r="E20" t="n">
        <v>709.55</v>
      </c>
      <c r="F20" t="n">
        <v>1087.98</v>
      </c>
    </row>
    <row r="21">
      <c r="A21" t="inlineStr">
        <is>
          <t>ROTA (%)</t>
        </is>
      </c>
      <c r="B21" t="n">
        <v>-2.54</v>
      </c>
      <c r="C21" t="n">
        <v>-1.65</v>
      </c>
      <c r="D21" t="n">
        <v>-0</v>
      </c>
      <c r="E21" t="n">
        <v>0.9</v>
      </c>
      <c r="F21" t="n">
        <v>1.2</v>
      </c>
    </row>
    <row r="22">
      <c r="A22" t="inlineStr">
        <is>
          <t>Credit cost / ATA (%)</t>
        </is>
      </c>
      <c r="B22" t="n">
        <v>5</v>
      </c>
      <c r="C22" t="n">
        <v>3.5</v>
      </c>
      <c r="D22" t="n">
        <v>2</v>
      </c>
      <c r="E22" t="n">
        <v>1.3</v>
      </c>
      <c r="F22" t="n">
        <v>1.1</v>
      </c>
    </row>
    <row r="23">
      <c r="A23" t="inlineStr">
        <is>
          <t>Tier I (%)</t>
        </is>
      </c>
      <c r="B23" t="n">
        <v>11.19</v>
      </c>
      <c r="C23" t="n">
        <v>7.61</v>
      </c>
      <c r="D23" t="n">
        <v>6.92</v>
      </c>
      <c r="E23" t="n">
        <v>7.61</v>
      </c>
      <c r="F23" t="n">
        <v>8.73</v>
      </c>
    </row>
    <row r="24">
      <c r="A24" t="inlineStr">
        <is>
          <t>CRAR (%)</t>
        </is>
      </c>
      <c r="B24" t="n">
        <v>14.64</v>
      </c>
      <c r="C24" t="n">
        <v>10.9</v>
      </c>
      <c r="D24" t="n">
        <v>9.91</v>
      </c>
      <c r="E24" t="n">
        <v>10.21</v>
      </c>
      <c r="F24" t="n">
        <v>10.99</v>
      </c>
    </row>
    <row r="25">
      <c r="A25" t="inlineStr">
        <is>
          <t>Tangible net worth</t>
        </is>
      </c>
      <c r="B25" t="n">
        <v>4001.84</v>
      </c>
      <c r="C25" t="n">
        <v>2927.96</v>
      </c>
      <c r="D25" t="n">
        <v>2927.96</v>
      </c>
      <c r="E25" t="n">
        <v>3637.51</v>
      </c>
      <c r="F25" t="n">
        <v>4725.49</v>
      </c>
    </row>
    <row r="27">
      <c r="A27" t="inlineStr">
        <is>
          <t>Breakeven: FY2027 credit cost that takes CRAR to the 15% minimum = 3.99% of average total assets (FY2026 actual 2.00%; FY2025 2.31%).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4" customWidth="1" min="1" max="1"/>
    <col width="13" customWidth="1" min="2" max="2"/>
    <col width="13" customWidth="1" min="3" max="3"/>
    <col width="13" customWidth="1" min="4" max="4"/>
    <col width="84" customWidth="1" min="5" max="5"/>
  </cols>
  <sheetData>
    <row r="1">
      <c r="A1" s="2" t="inlineStr">
        <is>
          <t>(i) FUNDING MIX (Rs crore)</t>
        </is>
      </c>
      <c r="B1" s="2" t="inlineStr">
        <is>
          <t>FY2024</t>
        </is>
      </c>
      <c r="C1" s="2" t="inlineStr">
        <is>
          <t>FY2025</t>
        </is>
      </c>
      <c r="D1" s="2" t="inlineStr">
        <is>
          <t>FY2026</t>
        </is>
      </c>
      <c r="E1" s="2" t="inlineStr">
        <is>
          <t>Source</t>
        </is>
      </c>
    </row>
    <row r="2">
      <c r="A2" t="inlineStr">
        <is>
          <t>Demand - from banks</t>
        </is>
      </c>
      <c r="B2" t="n">
        <v>65.23999999999999</v>
      </c>
      <c r="C2" t="n">
        <v>13.8</v>
      </c>
      <c r="D2" t="n">
        <v>11.03</v>
      </c>
      <c r="E2" t="inlineStr">
        <is>
          <t>Schedule 3</t>
        </is>
      </c>
    </row>
    <row r="3">
      <c r="A3" t="inlineStr">
        <is>
          <t>Demand - from others</t>
        </is>
      </c>
      <c r="B3" t="n">
        <v>1149.78</v>
      </c>
      <c r="C3" t="n">
        <v>1629.83</v>
      </c>
      <c r="D3" t="n">
        <v>1525.31</v>
      </c>
      <c r="E3" t="inlineStr">
        <is>
          <t>Schedule 3</t>
        </is>
      </c>
    </row>
    <row r="4">
      <c r="A4" t="inlineStr">
        <is>
          <t>Savings bank</t>
        </is>
      </c>
      <c r="B4" t="n">
        <v>10337.38</v>
      </c>
      <c r="C4" t="n">
        <v>10762.18</v>
      </c>
      <c r="D4" t="n">
        <v>10661.9</v>
      </c>
      <c r="E4" t="inlineStr">
        <is>
          <t>Schedule 3</t>
        </is>
      </c>
    </row>
    <row r="5">
      <c r="A5" t="inlineStr">
        <is>
          <t>Term - from banks</t>
        </is>
      </c>
      <c r="B5" t="n">
        <v>6686.51</v>
      </c>
      <c r="C5" t="n">
        <v>7833.01</v>
      </c>
      <c r="D5" t="n">
        <v>8448.129999999999</v>
      </c>
      <c r="E5" t="inlineStr">
        <is>
          <t>Schedule 3</t>
        </is>
      </c>
    </row>
    <row r="6">
      <c r="A6" t="inlineStr">
        <is>
          <t>Term - from others</t>
        </is>
      </c>
      <c r="B6" t="n">
        <v>17890.28</v>
      </c>
      <c r="C6" t="n">
        <v>22863.49</v>
      </c>
      <c r="D6" t="n">
        <v>25886.71</v>
      </c>
      <c r="E6" t="inlineStr">
        <is>
          <t>Schedule 3</t>
        </is>
      </c>
    </row>
    <row r="7">
      <c r="A7" t="inlineStr">
        <is>
          <t>TOTAL DEPOSITS</t>
        </is>
      </c>
      <c r="B7" t="n">
        <v>36129.2</v>
      </c>
      <c r="C7" t="n">
        <v>43102.31</v>
      </c>
      <c r="D7" t="n">
        <v>46533.09</v>
      </c>
      <c r="E7" t="inlineStr">
        <is>
          <t>Schedule 3 total (engine tie-out)</t>
        </is>
      </c>
    </row>
    <row r="8">
      <c r="A8" t="inlineStr">
        <is>
          <t>CASA ratio (%)</t>
        </is>
      </c>
      <c r="B8" t="n">
        <v>31.98</v>
      </c>
      <c r="C8" t="n">
        <v>28.78</v>
      </c>
      <c r="D8" t="n">
        <v>26.21</v>
      </c>
      <c r="E8" t="inlineStr">
        <is>
          <t>(demand + savings) / deposits</t>
        </is>
      </c>
    </row>
    <row r="9">
      <c r="A9" t="inlineStr">
        <is>
          <t>Borrowings</t>
        </is>
      </c>
      <c r="B9" t="n">
        <v>1787.53</v>
      </c>
      <c r="C9" t="n">
        <v>2136.99</v>
      </c>
      <c r="D9" t="n">
        <v>5772.55</v>
      </c>
      <c r="E9" t="inlineStr">
        <is>
          <t>Schedule 4: all from 'other institutions and agencies'; Lower Tier II bonds Rs 500 crore (Dec-2024) + Rs 500 crore (Jul-2025) inside; split of the remainder not disclosed</t>
        </is>
      </c>
    </row>
    <row r="10">
      <c r="A10" t="inlineStr">
        <is>
          <t>Total borrowings / total assets (%)</t>
        </is>
      </c>
      <c r="B10" t="n">
        <v>3.95</v>
      </c>
      <c r="C10" t="n">
        <v>4.04</v>
      </c>
      <c r="D10" t="n">
        <v>9.52</v>
      </c>
      <c r="E10" t="inlineStr">
        <is>
          <t>bank prints 4.04% / 9.52% (Reg 52(4))</t>
        </is>
      </c>
    </row>
    <row r="11">
      <c r="A11" t="inlineStr">
        <is>
          <t>Top-20 depositors (% of deposits)</t>
        </is>
      </c>
      <c r="B11" t="inlineStr"/>
      <c r="C11" t="n">
        <v>17.6</v>
      </c>
      <c r="D11" t="n">
        <v>20.61</v>
      </c>
      <c r="E11" t="inlineStr">
        <is>
          <t>concentration note</t>
        </is>
      </c>
    </row>
    <row r="12"/>
    <row r="13">
      <c r="A13" s="2" t="inlineStr">
        <is>
          <t>(ii) INSTRUMENTS (bank's own documents)</t>
        </is>
      </c>
      <c r="B13" s="2" t="inlineStr"/>
      <c r="C13" s="2" t="inlineStr"/>
      <c r="D13" s="2" t="inlineStr"/>
      <c r="E13" s="2" t="inlineStr"/>
    </row>
    <row r="14">
      <c r="A14" t="inlineStr">
        <is>
          <t>Lower Tier II bond INE063P08112</t>
        </is>
      </c>
      <c r="B14" t="inlineStr"/>
      <c r="C14" t="inlineStr"/>
      <c r="D14" t="n">
        <v>500</v>
      </c>
      <c r="E14" t="inlineStr">
        <is>
          <t>allotted 05-Dec-2024; 9.6% p.a.; maturity 05-Dec-2030 (FY2025 AR)</t>
        </is>
      </c>
    </row>
    <row r="15">
      <c r="A15" t="inlineStr">
        <is>
          <t>Lower Tier II bond INE063P08120</t>
        </is>
      </c>
      <c r="B15" t="inlineStr"/>
      <c r="C15" t="inlineStr"/>
      <c r="D15" t="n">
        <v>500</v>
      </c>
      <c r="E15" t="inlineStr">
        <is>
          <t>allotted 31-Jul-2025; 9.6% p.a.; maturity 31-Jul-2030 (FY2026 AR)</t>
        </is>
      </c>
    </row>
    <row r="16">
      <c r="A16" t="inlineStr">
        <is>
          <t>Inter-bank participation certificates (IBPC) issued</t>
        </is>
      </c>
      <c r="B16" t="inlineStr"/>
      <c r="C16" t="n">
        <v>0</v>
      </c>
      <c r="D16" t="n">
        <v>2000</v>
      </c>
      <c r="E16" t="inlineStr">
        <is>
          <t>Schedule 9 footnote; maturities 2 days-2 months (ALM note)</t>
        </is>
      </c>
    </row>
    <row r="17">
      <c r="A17" t="inlineStr">
        <is>
          <t>Certificates of deposit outstanding</t>
        </is>
      </c>
      <c r="B17" t="inlineStr"/>
      <c r="C17" t="inlineStr"/>
      <c r="D17" t="inlineStr">
        <is>
          <t>n/d</t>
        </is>
      </c>
      <c r="E17" t="inlineStr">
        <is>
          <t>not disclosed separately in the documents</t>
        </is>
      </c>
    </row>
    <row r="18"/>
    <row r="19">
      <c r="A19" s="2" t="inlineStr">
        <is>
          <t>(iii) RATED LIMITS vs DRAWN</t>
        </is>
      </c>
      <c r="B19" s="2" t="inlineStr"/>
      <c r="C19" s="2" t="inlineStr"/>
      <c r="D19" s="2" t="inlineStr">
        <is>
          <t>Rs crore</t>
        </is>
      </c>
      <c r="E19" s="2" t="inlineStr"/>
    </row>
    <row r="20">
      <c r="A20" t="inlineStr">
        <is>
          <t>CareEdge rated programme - CRA-PUBLISHED 06-Oct-2025, NOT issuer-confirmed</t>
        </is>
      </c>
      <c r="B20" t="inlineStr"/>
      <c r="C20" t="inlineStr"/>
      <c r="D20" t="n">
        <v>2500</v>
      </c>
      <c r="E20" t="inlineStr">
        <is>
          <t>Lower Tier II 500 + 500 (fully issued) + CD 1,500 (programme limit) + issuer rating</t>
        </is>
      </c>
    </row>
    <row r="21">
      <c r="A21" t="inlineStr">
        <is>
          <t>Lower Tier II outstanding (drawn) vs rated 1,000</t>
        </is>
      </c>
      <c r="B21" t="inlineStr"/>
      <c r="C21" t="inlineStr"/>
      <c r="D21" t="n">
        <v>1000</v>
      </c>
      <c r="E21" t="inlineStr">
        <is>
          <t>fully utilised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Market data (screener.in, close 09-Oct-2026; third-party, not exchange-verified)</t>
        </is>
      </c>
    </row>
    <row r="2">
      <c r="A2" t="inlineStr">
        <is>
          <t>Share price (Rs)</t>
        </is>
      </c>
      <c r="B2" t="n">
        <v>66</v>
      </c>
    </row>
    <row r="3">
      <c r="A3" t="inlineStr">
        <is>
          <t>Market capitalisation (Rs crore)</t>
        </is>
      </c>
      <c r="B3" t="n">
        <v>7554</v>
      </c>
    </row>
    <row r="4">
      <c r="A4" t="inlineStr">
        <is>
          <t>Price / book (x) on FY2026 net worth 6,124.83</t>
        </is>
      </c>
      <c r="B4" t="n">
        <v>1.23</v>
      </c>
    </row>
    <row r="5">
      <c r="A5" t="inlineStr">
        <is>
          <t>Price / tangible book (x) on FY2026 TNW 5,582.45</t>
        </is>
      </c>
      <c r="B5" t="n">
        <v>1.35</v>
      </c>
    </row>
    <row r="6">
      <c r="A6" t="inlineStr">
        <is>
          <t>Market cap / FY2026 Tier I capital (x)</t>
        </is>
      </c>
      <c r="B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2026-10-10T08:52:39Z</dcterms:created>
  <dcterms:modified xmlns:dcterms="http://purl.org/dc/terms/" xmlns:xsi="http://www.w3.org/2001/XMLSchema-instance" xsi:type="dcterms:W3CDTF">2026-10-10T08:52:39Z</dcterms:modified>
</cp:coreProperties>
</file>