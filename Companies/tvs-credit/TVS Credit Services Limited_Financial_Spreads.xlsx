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&quot;x&quot;"/>
    <numFmt numFmtId="166" formatCode="0.00&quot;%&quot;"/>
    <numFmt numFmtId="167" formatCode="0.00&quot; pp&quot;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TVS Credit Services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Source</t>
        </is>
      </c>
    </row>
    <row r="6">
      <c r="B6" s="4" t="inlineStr">
        <is>
          <t>Interest income</t>
        </is>
      </c>
      <c r="C6" s="5" t="n">
        <v>5112.58</v>
      </c>
      <c r="D6" s="5" t="n">
        <v>5775.97</v>
      </c>
      <c r="E6" s="5" t="n">
        <v>6213.35</v>
      </c>
      <c r="F6" s="6" t="inlineStr">
        <is>
          <t>FY2026 AR L3115; FY24 FY2025 AR L2821</t>
        </is>
      </c>
    </row>
    <row r="7">
      <c r="B7" s="4" t="inlineStr">
        <is>
          <t>Total income</t>
        </is>
      </c>
      <c r="C7" s="5" t="n">
        <v>5795.19</v>
      </c>
      <c r="D7" s="5" t="n">
        <v>6608.68</v>
      </c>
      <c r="E7" s="5" t="n">
        <v>7196</v>
      </c>
      <c r="F7" s="6" t="inlineStr">
        <is>
          <t>FY2026 AR L3120; FY24 FY2025 AR L2827</t>
        </is>
      </c>
    </row>
    <row r="8">
      <c r="B8" s="4" t="inlineStr">
        <is>
          <t>Finance costs</t>
        </is>
      </c>
      <c r="C8" s="5" t="n"/>
      <c r="D8" s="5" t="n">
        <v>1863.32</v>
      </c>
      <c r="E8" s="5" t="n">
        <v>1934.29</v>
      </c>
      <c r="F8" s="6" t="inlineStr">
        <is>
          <t>FY2026 AR L3122</t>
        </is>
      </c>
    </row>
    <row r="9">
      <c r="B9" s="4" t="inlineStr">
        <is>
          <t>Fees and commission expense</t>
        </is>
      </c>
      <c r="C9" s="5" t="n"/>
      <c r="D9" s="5" t="n">
        <v>527.16</v>
      </c>
      <c r="E9" s="5" t="n">
        <v>473.14</v>
      </c>
      <c r="F9" s="6" t="inlineStr">
        <is>
          <t>FY2026 AR L3123</t>
        </is>
      </c>
    </row>
    <row r="10">
      <c r="B10" s="4" t="inlineStr">
        <is>
          <t>Impairment (credit cost)</t>
        </is>
      </c>
      <c r="C10" s="5" t="n">
        <v>1127.05</v>
      </c>
      <c r="D10" s="5" t="n">
        <v>1295.36</v>
      </c>
      <c r="E10" s="5" t="n">
        <v>1156.59</v>
      </c>
      <c r="F10" s="6" t="inlineStr">
        <is>
          <t>FY2026 AR L3124; FY24 FY2025 AR L2831</t>
        </is>
      </c>
    </row>
    <row r="11">
      <c r="B11" s="4" t="inlineStr">
        <is>
          <t>Employee benefits expense</t>
        </is>
      </c>
      <c r="C11" s="5" t="n"/>
      <c r="D11" s="5" t="n">
        <v>1135.58</v>
      </c>
      <c r="E11" s="5" t="n">
        <v>1274.23</v>
      </c>
      <c r="F11" s="6" t="inlineStr">
        <is>
          <t>FY2026 AR L3125</t>
        </is>
      </c>
    </row>
    <row r="12">
      <c r="B12" s="4" t="inlineStr">
        <is>
          <t>Depreciation</t>
        </is>
      </c>
      <c r="C12" s="5" t="n"/>
      <c r="D12" s="5" t="n">
        <v>46.2</v>
      </c>
      <c r="E12" s="5" t="n">
        <v>56.12</v>
      </c>
      <c r="F12" s="6" t="inlineStr">
        <is>
          <t>FY2026 AR L3126</t>
        </is>
      </c>
    </row>
    <row r="13">
      <c r="B13" s="4" t="inlineStr">
        <is>
          <t>Other expenses</t>
        </is>
      </c>
      <c r="C13" s="5" t="n"/>
      <c r="D13" s="5" t="n">
        <v>715.62</v>
      </c>
      <c r="E13" s="5" t="n">
        <v>1054.7</v>
      </c>
      <c r="F13" s="6" t="inlineStr">
        <is>
          <t>FY2026 AR L3127</t>
        </is>
      </c>
    </row>
    <row r="14">
      <c r="B14" s="4" t="inlineStr">
        <is>
          <t>Total expenses</t>
        </is>
      </c>
      <c r="C14" s="5" t="n"/>
      <c r="D14" s="5" t="n">
        <v>5583.24</v>
      </c>
      <c r="E14" s="5" t="n">
        <v>5949.07</v>
      </c>
      <c r="F14" s="6" t="inlineStr">
        <is>
          <t>FY2026 AR L3128</t>
        </is>
      </c>
    </row>
    <row r="15">
      <c r="B15" s="4" t="inlineStr">
        <is>
          <t>PBT before exceptional</t>
        </is>
      </c>
      <c r="C15" s="5" t="n"/>
      <c r="D15" s="5" t="n">
        <v>1025.44</v>
      </c>
      <c r="E15" s="5" t="n">
        <v>1246.93</v>
      </c>
      <c r="F15" s="6" t="inlineStr">
        <is>
          <t>FY2026 AR L3129</t>
        </is>
      </c>
    </row>
    <row r="16">
      <c r="B16" s="4" t="inlineStr">
        <is>
          <t>Exceptional items</t>
        </is>
      </c>
      <c r="C16" s="5" t="n"/>
      <c r="D16" s="5" t="n">
        <v>0</v>
      </c>
      <c r="E16" s="5" t="n">
        <v>8.609999999999999</v>
      </c>
      <c r="F16" s="6" t="inlineStr">
        <is>
          <t>FY2026 AR L7670 CONSOLIDATED. Standalone line reads '861' - OCR dropped the decimal point.</t>
        </is>
      </c>
    </row>
    <row r="17">
      <c r="B17" s="4" t="inlineStr">
        <is>
          <t>Profit after tax</t>
        </is>
      </c>
      <c r="C17" s="5" t="n">
        <v>571.83</v>
      </c>
      <c r="D17" s="5" t="n">
        <v>767.25</v>
      </c>
      <c r="E17" s="5" t="n">
        <v>913.17</v>
      </c>
      <c r="F17" s="6" t="inlineStr">
        <is>
          <t>FY2026 AR L3133; FY24 FY2025 AR L2842</t>
        </is>
      </c>
    </row>
    <row r="18">
      <c r="B18" s="4" t="inlineStr">
        <is>
          <t>Total assets</t>
        </is>
      </c>
      <c r="C18" s="5" t="n">
        <v>28137.55</v>
      </c>
      <c r="D18" s="5" t="n">
        <v>31043.7</v>
      </c>
      <c r="E18" s="5" t="n">
        <v>35068.09</v>
      </c>
      <c r="F18" s="6" t="inlineStr">
        <is>
          <t>FY2026 AR L3063; FY24 FY2025 AR L2762</t>
        </is>
      </c>
    </row>
    <row r="19">
      <c r="B19" s="4" t="inlineStr">
        <is>
          <t>Total equity (net worth)</t>
        </is>
      </c>
      <c r="C19" s="5" t="n"/>
      <c r="D19" s="5" t="n">
        <v>4947.92</v>
      </c>
      <c r="E19" s="5" t="n">
        <v>6067.63</v>
      </c>
      <c r="F19" s="6" t="inlineStr">
        <is>
          <t>FY2026 AR L5940</t>
        </is>
      </c>
    </row>
    <row r="20">
      <c r="B20" s="4" t="inlineStr">
        <is>
          <t>Total borrowings</t>
        </is>
      </c>
      <c r="C20" s="5" t="n"/>
      <c r="D20" s="5" t="n">
        <v>24687.17</v>
      </c>
      <c r="E20" s="5" t="n">
        <v>27667.87</v>
      </c>
      <c r="F20" s="6" t="inlineStr">
        <is>
          <t>FY2026 AR L5903</t>
        </is>
      </c>
    </row>
    <row r="21">
      <c r="B21" s="4" t="inlineStr">
        <is>
          <t>Net debt</t>
        </is>
      </c>
      <c r="C21" s="5" t="n"/>
      <c r="D21" s="5" t="n">
        <v>21103.76</v>
      </c>
      <c r="E21" s="5" t="n">
        <v>24340.37</v>
      </c>
      <c r="F21" s="6" t="inlineStr">
        <is>
          <t>FY2026 AR L5939</t>
        </is>
      </c>
    </row>
    <row r="22">
      <c r="B22" s="4" t="inlineStr">
        <is>
          <t>CRAR (%)</t>
        </is>
      </c>
      <c r="C22" s="5" t="n"/>
      <c r="D22" s="5" t="n">
        <v>20.3</v>
      </c>
      <c r="E22" s="5" t="n">
        <v>19.44</v>
      </c>
      <c r="F22" s="6" t="inlineStr">
        <is>
          <t>FY2026 AR L6325 - per RBI guidelines</t>
        </is>
      </c>
    </row>
    <row r="23">
      <c r="B23" s="4" t="inlineStr">
        <is>
          <t>Tier I CRAR (%)</t>
        </is>
      </c>
      <c r="C23" s="5" t="n"/>
      <c r="D23" s="5" t="n">
        <v>15.84</v>
      </c>
      <c r="E23" s="5" t="n">
        <v>16.49</v>
      </c>
      <c r="F23" s="6" t="inlineStr">
        <is>
          <t>FY2026 AR L6326</t>
        </is>
      </c>
    </row>
    <row r="24">
      <c r="B24" s="4" t="inlineStr">
        <is>
          <t>Tier II CRAR (%)</t>
        </is>
      </c>
      <c r="C24" s="5" t="n"/>
      <c r="D24" s="5" t="n">
        <v>4.46</v>
      </c>
      <c r="E24" s="5" t="n">
        <v>2.95</v>
      </c>
      <c r="F24" s="6" t="inlineStr">
        <is>
          <t>FY2026 AR L6327</t>
        </is>
      </c>
    </row>
    <row r="25">
      <c r="B25" s="4" t="inlineStr">
        <is>
          <t>Top-10 borrowings / total (%)</t>
        </is>
      </c>
      <c r="C25" s="5" t="n"/>
      <c r="D25" s="5" t="n">
        <v>77.34</v>
      </c>
      <c r="E25" s="5" t="n">
        <v>70.68000000000001</v>
      </c>
      <c r="F25" s="6" t="inlineStr">
        <is>
          <t>FY2026 AR L6761</t>
        </is>
      </c>
    </row>
    <row r="26">
      <c r="B26" s="4" t="inlineStr">
        <is>
          <t>PDI as % of Tier I</t>
        </is>
      </c>
      <c r="C26" s="5" t="n"/>
      <c r="D26" s="5" t="n">
        <v>2.25</v>
      </c>
      <c r="E26" s="5" t="n">
        <v>1.84</v>
      </c>
      <c r="F26" s="6" t="inlineStr">
        <is>
          <t>FY2026 AR L6946</t>
        </is>
      </c>
    </row>
    <row r="27">
      <c r="B27" s="4" t="inlineStr">
        <is>
          <t>Parent shareholding (%)</t>
        </is>
      </c>
      <c r="C27" s="5" t="n"/>
      <c r="D27" s="5" t="n"/>
      <c r="E27" s="5" t="n">
        <v>85.63</v>
      </c>
      <c r="F27" s="6" t="inlineStr">
        <is>
          <t>FY2026 AR - TVS Motor Company Ltd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TVS Credit Services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Net interest income</t>
        </is>
      </c>
      <c r="C6" s="7">
        <f>Inputs!C6-Inputs!C8</f>
        <v>5112.58</v>
      </c>
      <c r="D6" s="7">
        <f>Inputs!D6-Inputs!D8</f>
        <v>3912.6500000000005</v>
      </c>
      <c r="E6" s="7">
        <f>Inputs!E6-Inputs!E8</f>
        <v>4279.06</v>
      </c>
      <c r="F6" s="6" t="inlineStr">
        <is>
          <t>Interest income less finance costs</t>
        </is>
      </c>
    </row>
    <row r="7">
      <c r="B7" s="4" t="inlineStr">
        <is>
          <t>NII / avg total assets (%)</t>
        </is>
      </c>
      <c r="C7" s="8">
        <f>(Inputs!C6-Inputs!C8)/AVERAGE(Inputs!C18,OFFSET(Inputs!C18,0,-1))</f>
        <v/>
      </c>
      <c r="D7" s="8">
        <f>(Inputs!D6-Inputs!D8)/AVERAGE(Inputs!D18,OFFSET(Inputs!D18,0,-1))</f>
        <v/>
      </c>
      <c r="E7" s="8">
        <f>(Inputs!E6-Inputs!E8)/AVERAGE(Inputs!E18,OFFSET(Inputs!E18,0,-1))</f>
        <v/>
      </c>
      <c r="F7" s="6" t="inlineStr">
        <is>
          <t>Spread earned on the book - high, reflecting two-wheeler/used-vehicle/tractor yields</t>
        </is>
      </c>
    </row>
    <row r="8">
      <c r="B8" s="4" t="inlineStr">
        <is>
          <t>RoAA (%)  [SECTOR-DEFINING]</t>
        </is>
      </c>
      <c r="C8" s="8">
        <f>Inputs!C17/AVERAGE(Inputs!C18,OFFSET(Inputs!C18,0,-1))</f>
        <v/>
      </c>
      <c r="D8" s="8">
        <f>Inputs!D17/AVERAGE(Inputs!D18,OFFSET(Inputs!D18,0,-1))</f>
        <v/>
      </c>
      <c r="E8" s="8">
        <f>Inputs!E17/AVERAGE(Inputs!E18,OFFSET(Inputs!E18,0,-1))</f>
        <v/>
      </c>
      <c r="F8" s="6" t="inlineStr">
        <is>
          <t>Return on average assets - the core NBFC profitability metric</t>
        </is>
      </c>
    </row>
    <row r="9">
      <c r="B9" s="4" t="inlineStr">
        <is>
          <t>RoAE (%)</t>
        </is>
      </c>
      <c r="C9" s="8">
        <f>Inputs!C17/AVERAGE(Inputs!C19,OFFSET(Inputs!C19,0,-1))</f>
        <v/>
      </c>
      <c r="D9" s="8">
        <f>Inputs!D17/AVERAGE(Inputs!D19,OFFSET(Inputs!D19,0,-1))</f>
        <v/>
      </c>
      <c r="E9" s="8">
        <f>Inputs!E17/AVERAGE(Inputs!E19,OFFSET(Inputs!E19,0,-1))</f>
        <v/>
      </c>
      <c r="F9" s="6" t="inlineStr">
        <is>
          <t>Return on average net worth</t>
        </is>
      </c>
    </row>
    <row r="10">
      <c r="B10" s="4" t="inlineStr">
        <is>
          <t>Credit cost / avg assets (%)  [SECTOR-DEFINING]</t>
        </is>
      </c>
      <c r="C10" s="8">
        <f>Inputs!C10/AVERAGE(Inputs!C18,OFFSET(Inputs!C18,0,-1))</f>
        <v/>
      </c>
      <c r="D10" s="8">
        <f>Inputs!D10/AVERAGE(Inputs!D18,OFFSET(Inputs!D18,0,-1))</f>
        <v/>
      </c>
      <c r="E10" s="8">
        <f>Inputs!E10/AVERAGE(Inputs!E18,OFFSET(Inputs!E18,0,-1))</f>
        <v/>
      </c>
      <c r="F10" s="6" t="inlineStr">
        <is>
          <t>Impairment charge over average assets - the key asset-quality proxy</t>
        </is>
      </c>
    </row>
    <row r="11">
      <c r="B11" s="4" t="inlineStr">
        <is>
          <t>Gearing - borrowings / net worth (x)  [SECTOR-DEFINING]</t>
        </is>
      </c>
      <c r="C11" s="9">
        <f>Inputs!C20/Inputs!C19</f>
        <v/>
      </c>
      <c r="D11" s="9">
        <f>Inputs!D20/Inputs!D19</f>
        <v>4.98940362819124</v>
      </c>
      <c r="E11" s="9">
        <f>Inputs!E20/Inputs!E19</f>
        <v>4.559913837857614</v>
      </c>
      <c r="F11" s="6" t="inlineStr">
        <is>
          <t>Leverage. For a wholesale-funded NBFC this carries the weight CASA does for a bank</t>
        </is>
      </c>
    </row>
    <row r="12">
      <c r="B12" s="4" t="inlineStr">
        <is>
          <t>Net debt / equity (x)</t>
        </is>
      </c>
      <c r="C12" s="9">
        <f>Inputs!C21/Inputs!C19</f>
        <v/>
      </c>
      <c r="D12" s="9">
        <f>Inputs!D21/Inputs!D19</f>
        <v>4.265178095037914</v>
      </c>
      <c r="E12" s="9">
        <f>Inputs!E21/Inputs!E19</f>
        <v>4.0115119082739055</v>
      </c>
      <c r="F12" s="6" t="inlineStr">
        <is>
          <t>Reproduces the company's own published measure - a tie-out on the extraction</t>
        </is>
      </c>
    </row>
    <row r="13">
      <c r="B13" s="4" t="inlineStr">
        <is>
          <t>Operating expenses</t>
        </is>
      </c>
      <c r="C13" s="7">
        <f>Inputs!C11+Inputs!C12+Inputs!C13</f>
        <v>0.0</v>
      </c>
      <c r="D13" s="7">
        <f>Inputs!D11+Inputs!D12+Inputs!D13</f>
        <v>1897.4</v>
      </c>
      <c r="E13" s="7">
        <f>Inputs!E11+Inputs!E12+Inputs!E13</f>
        <v>2385.05</v>
      </c>
      <c r="F13" s="6" t="inlineStr">
        <is>
          <t>Employee + depreciation + other expenses</t>
        </is>
      </c>
    </row>
    <row r="14">
      <c r="B14" s="4" t="inlineStr">
        <is>
          <t>Net total income</t>
        </is>
      </c>
      <c r="C14" s="7">
        <f>Inputs!C7-Inputs!C8-Inputs!C9</f>
        <v>5795.19</v>
      </c>
      <c r="D14" s="7">
        <f>Inputs!D7-Inputs!D8-Inputs!D9</f>
        <v>4218.200000000001</v>
      </c>
      <c r="E14" s="7">
        <f>Inputs!E7-Inputs!E8-Inputs!E9</f>
        <v>4788.57</v>
      </c>
      <c r="F14" s="6" t="inlineStr">
        <is>
          <t>Income net of funding and origination costs</t>
        </is>
      </c>
    </row>
    <row r="15">
      <c r="B15" s="4" t="inlineStr">
        <is>
          <t>Cost-to-income (%)</t>
        </is>
      </c>
      <c r="C15" s="8">
        <f>(Inputs!C11+Inputs!C12+Inputs!C13)/(Inputs!C7-Inputs!C8-Inputs!C9)</f>
        <v>0.0</v>
      </c>
      <c r="D15" s="8">
        <f>(Inputs!D11+Inputs!D12+Inputs!D13)/(Inputs!D7-Inputs!D8-Inputs!D9)</f>
        <v>0.44981271632449854</v>
      </c>
      <c r="E15" s="8">
        <f>(Inputs!E11+Inputs!E12+Inputs!E13)/(Inputs!E7-Inputs!E8-Inputs!E9)</f>
        <v>0.49807144930532504</v>
      </c>
      <c r="F15" s="6" t="inlineStr">
        <is>
          <t>THE FY2026 NEGATIVE: rose to 49.81% from 44.98%</t>
        </is>
      </c>
    </row>
    <row r="16">
      <c r="B16" s="4" t="inlineStr">
        <is>
          <t>CRAR cross-check (Tier I + Tier II)</t>
        </is>
      </c>
      <c r="C16" s="10">
        <f>Inputs!C23+Inputs!C24</f>
        <v>0.0</v>
      </c>
      <c r="D16" s="10">
        <f>Inputs!D23+Inputs!D24</f>
        <v>20.3</v>
      </c>
      <c r="E16" s="10">
        <f>Inputs!E23+Inputs!E24</f>
        <v>19.439999999999998</v>
      </c>
      <c r="F16" s="6" t="inlineStr">
        <is>
          <t>Must equal reported CRAR - independent reconstruction of the capital stack</t>
        </is>
      </c>
    </row>
    <row r="17">
      <c r="B17" s="4" t="inlineStr">
        <is>
          <t>CRAR buffer over RBI 15% minimum (pp)</t>
        </is>
      </c>
      <c r="C17" s="11">
        <f>Inputs!C22-15</f>
        <v>-15.0</v>
      </c>
      <c r="D17" s="11">
        <f>Inputs!D22-15</f>
        <v>5.300000000000001</v>
      </c>
      <c r="E17" s="11">
        <f>Inputs!E22-15</f>
        <v>4.440000000000001</v>
      </c>
      <c r="F17" s="6" t="inlineStr">
        <is>
          <t>Reported CRAR less the 15% minimum applicable to the company</t>
        </is>
      </c>
    </row>
    <row r="18">
      <c r="B18" s="4" t="inlineStr">
        <is>
          <t>Total income growth (%)</t>
        </is>
      </c>
      <c r="C18" s="12">
        <f>Inputs!C7/OFFSET(Inputs!C7,0,-1)-1</f>
        <v/>
      </c>
      <c r="D18" s="12">
        <f>Inputs!D7/OFFSET(Inputs!D7,0,-1)-1</f>
        <v/>
      </c>
      <c r="E18" s="12">
        <f>Inputs!E7/OFFSET(Inputs!E7,0,-1)-1</f>
        <v/>
      </c>
      <c r="F18" s="6" t="inlineStr">
        <is>
          <t>YoY growth in total income</t>
        </is>
      </c>
    </row>
    <row r="19">
      <c r="B19" s="4" t="inlineStr">
        <is>
          <t>PAT growth (%)</t>
        </is>
      </c>
      <c r="C19" s="12">
        <f>Inputs!C17/OFFSET(Inputs!C17,0,-1)-1</f>
        <v/>
      </c>
      <c r="D19" s="12">
        <f>Inputs!D17/OFFSET(Inputs!D17,0,-1)-1</f>
        <v/>
      </c>
      <c r="E19" s="12">
        <f>Inputs!E17/OFFSET(Inputs!E17,0,-1)-1</f>
        <v/>
      </c>
      <c r="F19" s="6" t="inlineStr">
        <is>
          <t>YoY growth in profit after tax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TVS Credit Services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FY26 CRAR = Tier I + Tier II</t>
        </is>
      </c>
      <c r="C6" s="7">
        <f>Inputs!E23+Inputs!E24</f>
        <v>19.439999999999998</v>
      </c>
      <c r="D6" s="7" t="n">
        <v>19.44</v>
      </c>
      <c r="E6" s="13">
        <f>IF(ABS(C6-D6)&lt;=MAX(1,ABS(D6)*0.005),"PASS","CHECK")</f>
        <v/>
      </c>
      <c r="F6" s="6" t="inlineStr">
        <is>
          <t>16.49 + 2.95; reported CRAR 19.44% - exact reconstruction of the capital stack</t>
        </is>
      </c>
    </row>
    <row r="7">
      <c r="B7" s="4" t="inlineStr">
        <is>
          <t>FY26 total expenses = sum of components</t>
        </is>
      </c>
      <c r="C7" s="7">
        <f>Inputs!E8+Inputs!E9+Inputs!E10+Inputs!E11+Inputs!E12+Inputs!E13</f>
        <v>5949.07</v>
      </c>
      <c r="D7" s="7" t="n">
        <v>5949.07</v>
      </c>
      <c r="E7" s="13">
        <f>IF(ABS(C7-D7)&lt;=MAX(1,ABS(D7)*0.005),"PASS","CHECK")</f>
        <v/>
      </c>
      <c r="F7" s="6" t="inlineStr">
        <is>
          <t>Six expense lines rebuild the reported total exactly</t>
        </is>
      </c>
    </row>
    <row r="8">
      <c r="B8" s="4" t="inlineStr">
        <is>
          <t>FY26 PBT = total income - total expenses</t>
        </is>
      </c>
      <c r="C8" s="7">
        <f>Inputs!E7-Inputs!E14</f>
        <v>1246.9300000000003</v>
      </c>
      <c r="D8" s="7" t="n">
        <v>1246.93</v>
      </c>
      <c r="E8" s="13">
        <f>IF(ABS(C8-D8)&lt;=MAX(1,ABS(D8)*0.005),"PASS","CHECK")</f>
        <v/>
      </c>
      <c r="F8" s="6" t="inlineStr">
        <is>
          <t>Reported PBT before exceptional items - exact</t>
        </is>
      </c>
    </row>
    <row r="9">
      <c r="B9" s="4" t="inlineStr">
        <is>
          <t>FY26 net debt / equity</t>
        </is>
      </c>
      <c r="C9" s="7">
        <f>Inputs!E21/Inputs!E19</f>
        <v>4.0115119082739055</v>
      </c>
      <c r="D9" s="7" t="n">
        <v>4.01</v>
      </c>
      <c r="E9" s="13">
        <f>IF(ABS(C9-D9)&lt;=MAX(1,ABS(D9)*0.005),"PASS","CHECK")</f>
        <v/>
      </c>
      <c r="F9" s="6" t="inlineStr">
        <is>
          <t>Reproduces the company's own published 4.01x</t>
        </is>
      </c>
    </row>
    <row r="10">
      <c r="B10" s="4" t="inlineStr">
        <is>
          <t>FY25 net debt / equity</t>
        </is>
      </c>
      <c r="C10" s="7">
        <f>Inputs!D21/Inputs!D19</f>
        <v>4.265178095037914</v>
      </c>
      <c r="D10" s="7" t="n">
        <v>4.27</v>
      </c>
      <c r="E10" s="13">
        <f>IF(ABS(C10-D10)&lt;=MAX(1,ABS(D10)*0.005),"PASS","CHECK")</f>
        <v/>
      </c>
      <c r="F10" s="6" t="inlineStr">
        <is>
          <t>Reproduces the company's own published 4.27x</t>
        </is>
      </c>
    </row>
    <row r="11">
      <c r="B11" s="4" t="inlineStr">
        <is>
          <t>FY26 exceptional item / PBT</t>
        </is>
      </c>
      <c r="C11" s="7">
        <f>Inputs!E16/Inputs!E15</f>
        <v>0.006904958578268226</v>
      </c>
      <c r="D11" s="7" t="n">
        <v>0.0069</v>
      </c>
      <c r="E11" s="13">
        <f>IF(ABS(C11-D11)&lt;=MAX(1,ABS(D11)*0.005),"PASS","CHECK")</f>
        <v/>
      </c>
      <c r="F11" s="6" t="inlineStr">
        <is>
          <t>0.69% of PBT - immaterial. Confirms the standalone '861' is an OCR decimal-point loss, not a Rs 861 crore item</t>
        </is>
      </c>
    </row>
    <row r="13">
      <c r="B13" s="14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TVS Credit Services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Parent support - TVS Motor Company Limited</t>
        </is>
      </c>
      <c r="C6" s="15" t="n">
        <v>1</v>
      </c>
      <c r="D6" s="16" t="n">
        <v>0.4</v>
      </c>
      <c r="E6" s="17">
        <f>C6*D6</f>
        <v>0.4</v>
      </c>
      <c r="F6" s="6" t="inlineStr">
        <is>
          <t>TVS Motor held 85.63% as on 31-Mar-2026. Captive financing arm of the TVS group: shared brand, dealer-network origination, and a strategic role in supporting vehicle sales. Support expected on an ongoing basis and in distress. This factor, not the standalone profile, is what carries the rating into the AA category.</t>
        </is>
      </c>
    </row>
    <row r="7">
      <c r="B7" s="4" t="inlineStr">
        <is>
          <t>Profitability</t>
        </is>
      </c>
      <c r="C7" s="15" t="n">
        <v>2</v>
      </c>
      <c r="D7" s="16" t="n">
        <v>0.2</v>
      </c>
      <c r="E7" s="17">
        <f>C7*D7</f>
        <v>0.4</v>
      </c>
      <c r="F7" s="6" t="inlineStr">
        <is>
          <t>RoAA improved to 2.76% from 2.59%; PAT Rs 913.17 crore, up 19.02% after 34.17% growth in FY2025. NII of Rs 4,279.06 crore is 12.94% of average assets. Strong in absolute terms, but the quality of the FY2026 improvement is mixed - it came from a falling credit cost while the operating cost ratio deteriorated.</t>
        </is>
      </c>
    </row>
    <row r="8">
      <c r="B8" s="4" t="inlineStr">
        <is>
          <t>Capitalisation and leverage</t>
        </is>
      </c>
      <c r="C8" s="15" t="n">
        <v>2</v>
      </c>
      <c r="D8" s="16" t="n">
        <v>0.2</v>
      </c>
      <c r="E8" s="17">
        <f>C8*D8</f>
        <v>0.4</v>
      </c>
      <c r="F8" s="6" t="inlineStr">
        <is>
          <t>Gearing down to 4.56x from 4.99x; net worth Rs 6,067.63 crore. Tier I CRAR up to 16.49% from 15.84%, against a 15% total-CRAR regulatory minimum. Perpetual instruments are only 1.84% of Tier I, so the base is high quality. Total CRAR nonetheless eased to 19.44% from 20.30% as Tier II amortised.</t>
        </is>
      </c>
    </row>
    <row r="9">
      <c r="B9" s="4" t="inlineStr">
        <is>
          <t>Asset quality</t>
        </is>
      </c>
      <c r="C9" s="15" t="n">
        <v>3</v>
      </c>
      <c r="D9" s="16" t="n">
        <v>0.1</v>
      </c>
      <c r="E9" s="17">
        <f>C9*D9</f>
        <v>0.30000000000000004</v>
      </c>
      <c r="F9" s="6" t="inlineStr">
        <is>
          <t>Credit cost 3.50% of average assets, improved from 4.38% but high in absolute terms and structural to two-wheeler, used-vehicle and tractor lending. Gross/net stage 3 ratios were NOT located in the documents reviewed, so this factor is scored on the impairment charge alone - a genuine evidence gap, recorded rather than filled with an assumption.</t>
        </is>
      </c>
    </row>
    <row r="10">
      <c r="B10" s="4" t="inlineStr">
        <is>
          <t>Funding profile</t>
        </is>
      </c>
      <c r="C10" s="15" t="n">
        <v>3</v>
      </c>
      <c r="D10" s="16" t="n">
        <v>0.1</v>
      </c>
      <c r="E10" s="17">
        <f>C10*D10</f>
        <v>0.30000000000000004</v>
      </c>
      <c r="F10" s="6" t="inlineStr">
        <is>
          <t>Wholesale funded with no deposit franchise. Top-10 borrowings 70.68% of total, improved from 77.34% but still concentrated. ECB and NCD issuance during FY2026 is diversifying the mix.</t>
        </is>
      </c>
    </row>
    <row r="11">
      <c r="B11" s="18" t="inlineStr">
        <is>
          <t>Weight check (must be 100%)</t>
        </is>
      </c>
      <c r="D11" s="19">
        <f>SUM(D6:D10)</f>
        <v>1.0</v>
      </c>
      <c r="E11" s="20">
        <f>SUM(E6:E10)</f>
        <v>1.8000000000000003</v>
      </c>
      <c r="F11" s="18">
        <f>IF(ABS(D11-1)&lt;0.001,"weights sum to 100%","ERROR: weights must sum to 100%")</f>
        <v/>
      </c>
    </row>
    <row r="13" ht="16" customHeight="1">
      <c r="B13" s="18" t="inlineStr">
        <is>
          <t>Weighted composite score</t>
        </is>
      </c>
      <c r="C13" s="21">
        <f>E11</f>
        <v>1.8000000000000003</v>
      </c>
    </row>
    <row r="14" ht="16" customHeight="1">
      <c r="B14" s="18" t="inlineStr">
        <is>
          <t>Indicative anchor grade (screening only, +/-2 band)</t>
        </is>
      </c>
      <c r="C14" s="21" t="inlineStr">
        <is>
          <t>AA band (composite 1.80)</t>
        </is>
      </c>
    </row>
    <row r="15" ht="16" customHeight="1">
      <c r="B15" s="18" t="inlineStr">
        <is>
          <t>ANALYST RATING VIEW</t>
        </is>
      </c>
      <c r="C15" s="22" t="inlineStr">
        <is>
          <t>[ICRA]AA+ (Stable) / [ICRA]A1+; perpetual debt [ICRA]AA (Stable)</t>
        </is>
      </c>
    </row>
    <row r="16" ht="30" customHeight="1">
      <c r="B16" s="18" t="inlineStr">
        <is>
          <t>Divergence from anchor - explanation</t>
        </is>
      </c>
      <c r="C16" s="21" t="inlineStr">
        <is>
          <t>No divergence. The issuer's own FY2026 annual report discloses ICRA's outstanding ratings as AA+ (Stable) on long-term bank facilities and subordinated debt, A1+ on short-term facilities and commercial paper, and AA (Stable) on perpetual debt - matching this assessment including the one-notch hybrid notch-down, which was applied here BEFORE the disclosure table was read, on the SBI Additional Tier 1 precedent from 14-Aug-2026. No TVS Credit rationale exists in the reference library; the anchor is the issuer's own Step 7b disclosure.</t>
        </is>
      </c>
    </row>
  </sheetData>
  <mergeCells count="5">
    <mergeCell ref="C13:F13"/>
    <mergeCell ref="C16:F16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2026-08-15T11:09:42Z</dcterms:created>
  <dcterms:modified xmlns:dcterms="http://purl.org/dc/terms/" xmlns:xsi="http://www.w3.org/2001/XMLSchema-instance" xsi:type="dcterms:W3CDTF">2026-08-15T11:09:42Z</dcterms:modified>
</cp:coreProperties>
</file>