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redit Ratio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CF Input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Debt Breakup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  <xf numFmtId="3" fontId="0" fillId="4" borderId="0" pivotButton="0" quotePrefix="0" xfId="0"/>
    <xf numFmtId="0" fontId="3" fillId="0" borderId="0" pivotButton="0" quotePrefix="0" xfId="0"/>
    <xf numFmtId="3" fontId="3" fillId="0" borderId="0" pivotButton="0" quotePrefix="0" xfId="0"/>
    <xf numFmtId="3" fontId="3" fillId="4" borderId="0" pivotButton="0" quotePrefix="0" xfId="0"/>
    <xf numFmtId="164" fontId="0" fillId="0" borderId="0" pivotButton="0" quotePrefix="0" xfId="0"/>
    <xf numFmtId="164" fontId="0" fillId="4" borderId="0" pivotButton="0" quotePrefix="0" xfId="0"/>
    <xf numFmtId="2" fontId="0" fillId="0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6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0" customWidth="1" min="7" max="7"/>
  </cols>
  <sheetData>
    <row r="1">
      <c r="A1" s="1" t="inlineStr">
        <is>
          <t>Reliance Industries Limited - consolidated 5-year model (Rs crore). Base case on every statement tab; Scenarios tab carries Bull / Bear (rating stress) / Tail.</t>
        </is>
      </c>
    </row>
    <row r="2">
      <c r="A2" t="inlineStr">
        <is>
          <t>Generated by build_model.py from compute_ratios.py (208 tie-outs). FY2023-FY2026 audited; yellow = projection. Segment history FY2024-FY2026 (FY2023 segment split not extracted).</t>
        </is>
      </c>
    </row>
    <row r="4">
      <c r="A4" s="2" t="inlineStr">
        <is>
          <t>Driver</t>
        </is>
      </c>
      <c r="B4" s="2" t="inlineStr">
        <is>
          <t>FY2027E</t>
        </is>
      </c>
      <c r="C4" s="2" t="inlineStr">
        <is>
          <t>FY2028E</t>
        </is>
      </c>
      <c r="D4" s="2" t="inlineStr">
        <is>
          <t>FY2029E</t>
        </is>
      </c>
      <c r="E4" s="2" t="inlineStr">
        <is>
          <t>FY2030E</t>
        </is>
      </c>
      <c r="F4" s="2" t="inlineStr">
        <is>
          <t>FY2031E</t>
        </is>
      </c>
      <c r="G4" s="2" t="inlineStr">
        <is>
          <t>Source / basis</t>
        </is>
      </c>
    </row>
    <row r="5">
      <c r="A5" s="3" t="inlineStr">
        <is>
          <t>BASE</t>
        </is>
      </c>
      <c r="B5" s="4" t="n"/>
      <c r="C5" s="4" t="n"/>
      <c r="D5" s="4" t="n"/>
      <c r="E5" s="4" t="n"/>
      <c r="F5" s="4" t="n"/>
      <c r="G5" s="4" t="n"/>
    </row>
    <row r="6">
      <c r="A6" t="inlineStr">
        <is>
          <t>Revenue growth - O2C (%)</t>
        </is>
      </c>
      <c r="B6" t="n">
        <v>5</v>
      </c>
      <c r="C6" t="n">
        <v>3</v>
      </c>
      <c r="D6" t="n">
        <v>3</v>
      </c>
      <c r="E6" t="n">
        <v>3</v>
      </c>
      <c r="F6" t="n">
        <v>3</v>
      </c>
      <c r="G6" t="inlineStr">
        <is>
          <t>ANALYST JUDGMENT anchored on FY2024-26 segment history (audited segment information): O2C 5,64,749 -&gt; 6,62,401 (+8.3% CAGR, crude-price driven); Oil &amp; Gas 24,439 -&gt; 23,861 with KG D6 output 260.3 -&gt; 248.8 BCFe (natural decline); Retail 3,06,848 -&gt; 3,71,085 (+10.0% CAGR); Digital 1,32,938 -&gt; 1,76,164 (+15.1% CAGR); Others 80,516 -&gt; 80,522.</t>
        </is>
      </c>
    </row>
    <row r="7">
      <c r="A7" t="inlineStr">
        <is>
          <t>Revenue growth - Oil and Gas (%)</t>
        </is>
      </c>
      <c r="B7" t="n">
        <v>-5</v>
      </c>
      <c r="C7" t="n">
        <v>-5</v>
      </c>
      <c r="D7" t="n">
        <v>-5</v>
      </c>
      <c r="E7" t="n">
        <v>-5</v>
      </c>
      <c r="F7" t="n">
        <v>-5</v>
      </c>
      <c r="G7" t="inlineStr"/>
    </row>
    <row r="8">
      <c r="A8" t="inlineStr">
        <is>
          <t>Revenue growth - Retail (%)</t>
        </is>
      </c>
      <c r="B8" t="n">
        <v>12</v>
      </c>
      <c r="C8" t="n">
        <v>12</v>
      </c>
      <c r="D8" t="n">
        <v>11</v>
      </c>
      <c r="E8" t="n">
        <v>11</v>
      </c>
      <c r="F8" t="n">
        <v>10</v>
      </c>
      <c r="G8" t="inlineStr"/>
    </row>
    <row r="9">
      <c r="A9" t="inlineStr">
        <is>
          <t>Revenue growth - Digital Services (%)</t>
        </is>
      </c>
      <c r="B9" t="n">
        <v>13</v>
      </c>
      <c r="C9" t="n">
        <v>12</v>
      </c>
      <c r="D9" t="n">
        <v>12</v>
      </c>
      <c r="E9" t="n">
        <v>11</v>
      </c>
      <c r="F9" t="n">
        <v>10</v>
      </c>
      <c r="G9" t="inlineStr"/>
    </row>
    <row r="10">
      <c r="A10" t="inlineStr">
        <is>
          <t>Revenue growth - Others (%)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inlineStr"/>
    </row>
    <row r="11">
      <c r="A11" t="inlineStr">
        <is>
          <t>EBITDA margin - O2C (%)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inlineStr">
        <is>
          <t>ANALYST JUDGMENT anchored on FY2024-26 margins (engine): O2C 11.0 / 8.8 / 9.1; Oil &amp; Gas 82.6 / 84.0 / 79.8; Retail 7.5 / 7.6 / 7.3; Digital 42.6 / 42.2 / 43.5; Others 10.5 / 15.3 / 13.5. Q1 FY2027 (release 17-Jul-2026): O2C EBITDA +17.2% YoY, JPL margin 53.3% on operating revenue.</t>
        </is>
      </c>
    </row>
    <row r="12">
      <c r="A12" t="inlineStr">
        <is>
          <t>EBITDA margin - Oil and Gas (%)</t>
        </is>
      </c>
      <c r="B12" t="n">
        <v>76</v>
      </c>
      <c r="C12" t="n">
        <v>75</v>
      </c>
      <c r="D12" t="n">
        <v>74</v>
      </c>
      <c r="E12" t="n">
        <v>73</v>
      </c>
      <c r="F12" t="n">
        <v>72</v>
      </c>
      <c r="G12" t="inlineStr"/>
    </row>
    <row r="13">
      <c r="A13" t="inlineStr">
        <is>
          <t>EBITDA margin - Retail (%)</t>
        </is>
      </c>
      <c r="B13" t="n">
        <v>7.3</v>
      </c>
      <c r="C13" t="n">
        <v>7.4</v>
      </c>
      <c r="D13" t="n">
        <v>7.5</v>
      </c>
      <c r="E13" t="n">
        <v>7.5</v>
      </c>
      <c r="F13" t="n">
        <v>7.5</v>
      </c>
      <c r="G13" t="inlineStr"/>
    </row>
    <row r="14">
      <c r="A14" t="inlineStr">
        <is>
          <t>EBITDA margin - Digital Services (%)</t>
        </is>
      </c>
      <c r="B14" t="n">
        <v>44</v>
      </c>
      <c r="C14" t="n">
        <v>44.5</v>
      </c>
      <c r="D14" t="n">
        <v>45</v>
      </c>
      <c r="E14" t="n">
        <v>45</v>
      </c>
      <c r="F14" t="n">
        <v>45</v>
      </c>
      <c r="G14" t="inlineStr"/>
    </row>
    <row r="15">
      <c r="A15" t="inlineStr">
        <is>
          <t>EBITDA margin - Others (%)</t>
        </is>
      </c>
      <c r="B15" t="n">
        <v>13.5</v>
      </c>
      <c r="C15" t="n">
        <v>13.5</v>
      </c>
      <c r="D15" t="n">
        <v>13.5</v>
      </c>
      <c r="E15" t="n">
        <v>13.5</v>
      </c>
      <c r="F15" t="n">
        <v>13.5</v>
      </c>
      <c r="G15" t="inlineStr"/>
    </row>
    <row r="16">
      <c r="A16" t="inlineStr">
        <is>
          <t>Capex - cash (Rs crore)</t>
        </is>
      </c>
      <c r="B16" t="n">
        <v>150000</v>
      </c>
      <c r="C16" t="n">
        <v>145000</v>
      </c>
      <c r="D16" t="n">
        <v>135000</v>
      </c>
      <c r="E16" t="n">
        <v>130000</v>
      </c>
      <c r="F16" t="n">
        <v>125000</v>
      </c>
      <c r="G16" t="inlineStr">
        <is>
          <t>ANALYST JUDGMENT: company capex excl. spectrum 1,31,769 / 1,31,107 / 1,44,271 (FY2024-26 releases); Q1 FY2027 38,682 (annualised ~1.55 lakh crore); capital commitments rose to 66,517 from 31,629 (note 34). Bear adds a 15% overrun on new-energy / O2C projects (CRISIL project risk: projects large relative to operations).</t>
        </is>
      </c>
    </row>
    <row r="17">
      <c r="A17" t="inlineStr">
        <is>
          <t>Share of gross interest capitalised (%)</t>
        </is>
      </c>
      <c r="B17" t="n">
        <v>40</v>
      </c>
      <c r="C17" t="n">
        <v>35</v>
      </c>
      <c r="D17" t="n">
        <v>30</v>
      </c>
      <c r="E17" t="n">
        <v>25</v>
      </c>
      <c r="F17" t="n">
        <v>20</v>
      </c>
      <c r="G17" t="inlineStr">
        <is>
          <t>FY2026 16,091 of 38,358 gross = 42%; FY2025 18,283 of 38,987 = 47%. Falls as 5G / new-energy assets commission (Q1 FY2027 release: finance cost +18.5% 'due to ... capitalisation of 5G assets').</t>
        </is>
      </c>
    </row>
    <row r="18">
      <c r="A18" t="inlineStr">
        <is>
          <t>Working-capital shock (Rs crore)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/>
    </row>
    <row r="19">
      <c r="A19" s="3" t="inlineStr">
        <is>
          <t>BULL</t>
        </is>
      </c>
      <c r="B19" s="4" t="n"/>
      <c r="C19" s="4" t="n"/>
      <c r="D19" s="4" t="n"/>
      <c r="E19" s="4" t="n"/>
      <c r="F19" s="4" t="n"/>
      <c r="G19" s="4" t="n"/>
    </row>
    <row r="20">
      <c r="A20" t="inlineStr">
        <is>
          <t>Revenue growth - O2C (%)</t>
        </is>
      </c>
      <c r="B20" t="n">
        <v>5</v>
      </c>
      <c r="C20" t="n">
        <v>3</v>
      </c>
      <c r="D20" t="n">
        <v>3</v>
      </c>
      <c r="E20" t="n">
        <v>3</v>
      </c>
      <c r="F20" t="n">
        <v>3</v>
      </c>
      <c r="G20" t="inlineStr"/>
    </row>
    <row r="21">
      <c r="A21" t="inlineStr">
        <is>
          <t>Revenue growth - Oil and Gas (%)</t>
        </is>
      </c>
      <c r="B21" t="n">
        <v>-5</v>
      </c>
      <c r="C21" t="n">
        <v>-5</v>
      </c>
      <c r="D21" t="n">
        <v>-5</v>
      </c>
      <c r="E21" t="n">
        <v>-5</v>
      </c>
      <c r="F21" t="n">
        <v>-5</v>
      </c>
      <c r="G21" t="inlineStr"/>
    </row>
    <row r="22">
      <c r="A22" t="inlineStr">
        <is>
          <t>Revenue growth - Retail (%)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inlineStr"/>
    </row>
    <row r="23">
      <c r="A23" t="inlineStr">
        <is>
          <t>Revenue growth - Digital Services (%)</t>
        </is>
      </c>
      <c r="B23" t="n">
        <v>15</v>
      </c>
      <c r="C23" t="n">
        <v>14</v>
      </c>
      <c r="D23" t="n">
        <v>13</v>
      </c>
      <c r="E23" t="n">
        <v>12</v>
      </c>
      <c r="F23" t="n">
        <v>12</v>
      </c>
      <c r="G23" t="inlineStr"/>
    </row>
    <row r="24">
      <c r="A24" t="inlineStr">
        <is>
          <t>Revenue growth - Others (%)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inlineStr"/>
    </row>
    <row r="25">
      <c r="A25" t="inlineStr">
        <is>
          <t>EBITDA margin - O2C (%)</t>
        </is>
      </c>
      <c r="B25" t="n">
        <v>10.5</v>
      </c>
      <c r="C25" t="n">
        <v>10.5</v>
      </c>
      <c r="D25" t="n">
        <v>10.5</v>
      </c>
      <c r="E25" t="n">
        <v>10.5</v>
      </c>
      <c r="F25" t="n">
        <v>10.5</v>
      </c>
      <c r="G25" t="inlineStr"/>
    </row>
    <row r="26">
      <c r="A26" t="inlineStr">
        <is>
          <t>EBITDA margin - Oil and Gas (%)</t>
        </is>
      </c>
      <c r="B26" t="n">
        <v>76</v>
      </c>
      <c r="C26" t="n">
        <v>75</v>
      </c>
      <c r="D26" t="n">
        <v>74</v>
      </c>
      <c r="E26" t="n">
        <v>73</v>
      </c>
      <c r="F26" t="n">
        <v>72</v>
      </c>
      <c r="G26" t="inlineStr"/>
    </row>
    <row r="27">
      <c r="A27" t="inlineStr">
        <is>
          <t>EBITDA margin - Retail (%)</t>
        </is>
      </c>
      <c r="B27" t="n">
        <v>7.3</v>
      </c>
      <c r="C27" t="n">
        <v>7.4</v>
      </c>
      <c r="D27" t="n">
        <v>7.5</v>
      </c>
      <c r="E27" t="n">
        <v>7.5</v>
      </c>
      <c r="F27" t="n">
        <v>7.5</v>
      </c>
      <c r="G27" t="inlineStr"/>
    </row>
    <row r="28">
      <c r="A28" t="inlineStr">
        <is>
          <t>EBITDA margin - Digital Services (%)</t>
        </is>
      </c>
      <c r="B28" t="n">
        <v>45</v>
      </c>
      <c r="C28" t="n">
        <v>46</v>
      </c>
      <c r="D28" t="n">
        <v>47</v>
      </c>
      <c r="E28" t="n">
        <v>47</v>
      </c>
      <c r="F28" t="n">
        <v>47</v>
      </c>
      <c r="G28" t="inlineStr"/>
    </row>
    <row r="29">
      <c r="A29" t="inlineStr">
        <is>
          <t>EBITDA margin - Others (%)</t>
        </is>
      </c>
      <c r="B29" t="n">
        <v>13.5</v>
      </c>
      <c r="C29" t="n">
        <v>13.5</v>
      </c>
      <c r="D29" t="n">
        <v>13.5</v>
      </c>
      <c r="E29" t="n">
        <v>13.5</v>
      </c>
      <c r="F29" t="n">
        <v>13.5</v>
      </c>
      <c r="G29" t="inlineStr"/>
    </row>
    <row r="30">
      <c r="A30" t="inlineStr">
        <is>
          <t>Capex - cash (Rs crore)</t>
        </is>
      </c>
      <c r="B30" t="n">
        <v>150000</v>
      </c>
      <c r="C30" t="n">
        <v>145000</v>
      </c>
      <c r="D30" t="n">
        <v>135000</v>
      </c>
      <c r="E30" t="n">
        <v>130000</v>
      </c>
      <c r="F30" t="n">
        <v>125000</v>
      </c>
      <c r="G30" t="inlineStr"/>
    </row>
    <row r="31">
      <c r="A31" t="inlineStr">
        <is>
          <t>Share of gross interest capitalised (%)</t>
        </is>
      </c>
      <c r="B31" t="n">
        <v>40</v>
      </c>
      <c r="C31" t="n">
        <v>35</v>
      </c>
      <c r="D31" t="n">
        <v>30</v>
      </c>
      <c r="E31" t="n">
        <v>25</v>
      </c>
      <c r="F31" t="n">
        <v>20</v>
      </c>
      <c r="G31" t="inlineStr"/>
    </row>
    <row r="32">
      <c r="A32" t="inlineStr">
        <is>
          <t>Working-capital shock (Rs crore)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STRESS VARIABLE (CRISIL cash-flow adequacy): FY2026 contract liabilities rose 1,09,196 to 1,72,201 (note 23) and trade/other payables added 86,609 to CFO; supplier finance is 76,377 (note 44). Bear unwinds 1,00,000 in FY2027; Tail 1,50,000 + 30,000.</t>
        </is>
      </c>
    </row>
    <row r="33">
      <c r="A33" s="3" t="inlineStr">
        <is>
          <t>BEAR / RATING STRESS</t>
        </is>
      </c>
      <c r="B33" s="4" t="n"/>
      <c r="C33" s="4" t="n"/>
      <c r="D33" s="4" t="n"/>
      <c r="E33" s="4" t="n"/>
      <c r="F33" s="4" t="n"/>
      <c r="G33" s="4" t="n"/>
    </row>
    <row r="34">
      <c r="A34" t="inlineStr">
        <is>
          <t>Revenue growth - O2C (%)</t>
        </is>
      </c>
      <c r="B34" t="n">
        <v>-10</v>
      </c>
      <c r="C34" t="n">
        <v>-5</v>
      </c>
      <c r="D34" t="n">
        <v>3</v>
      </c>
      <c r="E34" t="n">
        <v>3</v>
      </c>
      <c r="F34" t="n">
        <v>3</v>
      </c>
      <c r="G34" t="inlineStr"/>
    </row>
    <row r="35">
      <c r="A35" t="inlineStr">
        <is>
          <t>Revenue growth - Oil and Gas (%)</t>
        </is>
      </c>
      <c r="B35" t="n">
        <v>-10</v>
      </c>
      <c r="C35" t="n">
        <v>-10</v>
      </c>
      <c r="D35" t="n">
        <v>-10</v>
      </c>
      <c r="E35" t="n">
        <v>-10</v>
      </c>
      <c r="F35" t="n">
        <v>-10</v>
      </c>
      <c r="G35" t="inlineStr"/>
    </row>
    <row r="36">
      <c r="A36" t="inlineStr">
        <is>
          <t>Revenue growth - Retail (%)</t>
        </is>
      </c>
      <c r="B36" t="n">
        <v>6</v>
      </c>
      <c r="C36" t="n">
        <v>6</v>
      </c>
      <c r="D36" t="n">
        <v>8</v>
      </c>
      <c r="E36" t="n">
        <v>9</v>
      </c>
      <c r="F36" t="n">
        <v>9</v>
      </c>
      <c r="G36" t="inlineStr"/>
    </row>
    <row r="37">
      <c r="A37" t="inlineStr">
        <is>
          <t>Revenue growth - Digital Services (%)</t>
        </is>
      </c>
      <c r="B37" t="n">
        <v>8</v>
      </c>
      <c r="C37" t="n">
        <v>8</v>
      </c>
      <c r="D37" t="n">
        <v>9</v>
      </c>
      <c r="E37" t="n">
        <v>9</v>
      </c>
      <c r="F37" t="n">
        <v>9</v>
      </c>
      <c r="G37" t="inlineStr"/>
    </row>
    <row r="38">
      <c r="A38" t="inlineStr">
        <is>
          <t>Revenue growth - Others (%)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inlineStr"/>
    </row>
    <row r="39">
      <c r="A39" t="inlineStr">
        <is>
          <t>EBITDA margin - O2C (%)</t>
        </is>
      </c>
      <c r="B39" t="n">
        <v>6.5</v>
      </c>
      <c r="C39" t="n">
        <v>6.5</v>
      </c>
      <c r="D39" t="n">
        <v>7.5</v>
      </c>
      <c r="E39" t="n">
        <v>8</v>
      </c>
      <c r="F39" t="n">
        <v>8.5</v>
      </c>
      <c r="G39" t="inlineStr"/>
    </row>
    <row r="40">
      <c r="A40" t="inlineStr">
        <is>
          <t>EBITDA margin - Oil and Gas (%)</t>
        </is>
      </c>
      <c r="B40" t="n">
        <v>70</v>
      </c>
      <c r="C40" t="n">
        <v>68</v>
      </c>
      <c r="D40" t="n">
        <v>66</v>
      </c>
      <c r="E40" t="n">
        <v>65</v>
      </c>
      <c r="F40" t="n">
        <v>65</v>
      </c>
      <c r="G40" t="inlineStr"/>
    </row>
    <row r="41">
      <c r="A41" t="inlineStr">
        <is>
          <t>EBITDA margin - Retail (%)</t>
        </is>
      </c>
      <c r="B41" t="n">
        <v>6.5</v>
      </c>
      <c r="C41" t="n">
        <v>6.5</v>
      </c>
      <c r="D41" t="n">
        <v>7</v>
      </c>
      <c r="E41" t="n">
        <v>7</v>
      </c>
      <c r="F41" t="n">
        <v>7</v>
      </c>
      <c r="G41" t="inlineStr"/>
    </row>
    <row r="42">
      <c r="A42" t="inlineStr">
        <is>
          <t>EBITDA margin - Digital Services (%)</t>
        </is>
      </c>
      <c r="B42" t="n">
        <v>42</v>
      </c>
      <c r="C42" t="n">
        <v>42</v>
      </c>
      <c r="D42" t="n">
        <v>43</v>
      </c>
      <c r="E42" t="n">
        <v>43</v>
      </c>
      <c r="F42" t="n">
        <v>43</v>
      </c>
      <c r="G42" t="inlineStr"/>
    </row>
    <row r="43">
      <c r="A43" t="inlineStr">
        <is>
          <t>EBITDA margin - Others (%)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inlineStr"/>
    </row>
    <row r="44">
      <c r="A44" t="inlineStr">
        <is>
          <t>Capex - cash (Rs crore)</t>
        </is>
      </c>
      <c r="B44" t="n">
        <v>172500</v>
      </c>
      <c r="C44" t="n">
        <v>166750</v>
      </c>
      <c r="D44" t="n">
        <v>155250</v>
      </c>
      <c r="E44" t="n">
        <v>140000</v>
      </c>
      <c r="F44" t="n">
        <v>130000</v>
      </c>
      <c r="G44" t="inlineStr"/>
    </row>
    <row r="45">
      <c r="A45" t="inlineStr">
        <is>
          <t>Share of gross interest capitalised (%)</t>
        </is>
      </c>
      <c r="B45" t="n">
        <v>40</v>
      </c>
      <c r="C45" t="n">
        <v>35</v>
      </c>
      <c r="D45" t="n">
        <v>30</v>
      </c>
      <c r="E45" t="n">
        <v>25</v>
      </c>
      <c r="F45" t="n">
        <v>20</v>
      </c>
      <c r="G45" t="inlineStr"/>
    </row>
    <row r="46">
      <c r="A46" t="inlineStr">
        <is>
          <t>Working-capital shock (Rs crore)</t>
        </is>
      </c>
      <c r="B46" t="n">
        <v>-100000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STRESS VARIABLE (CRISIL cash-flow adequacy): FY2026 contract liabilities rose 1,09,196 to 1,72,201 (note 23) and trade/other payables added 86,609 to CFO; supplier finance is 76,377 (note 44). Bear unwinds 1,00,000 in FY2027; Tail 1,50,000 + 30,000.</t>
        </is>
      </c>
    </row>
    <row r="47">
      <c r="A47" s="3" t="inlineStr">
        <is>
          <t>TAIL</t>
        </is>
      </c>
      <c r="B47" s="4" t="n"/>
      <c r="C47" s="4" t="n"/>
      <c r="D47" s="4" t="n"/>
      <c r="E47" s="4" t="n"/>
      <c r="F47" s="4" t="n"/>
      <c r="G47" s="4" t="n"/>
    </row>
    <row r="48">
      <c r="A48" t="inlineStr">
        <is>
          <t>Revenue growth - O2C (%)</t>
        </is>
      </c>
      <c r="B48" t="n">
        <v>-20</v>
      </c>
      <c r="C48" t="n">
        <v>-5</v>
      </c>
      <c r="D48" t="n">
        <v>5</v>
      </c>
      <c r="E48" t="n">
        <v>5</v>
      </c>
      <c r="F48" t="n">
        <v>5</v>
      </c>
      <c r="G48" t="inlineStr"/>
    </row>
    <row r="49">
      <c r="A49" t="inlineStr">
        <is>
          <t>Revenue growth - Oil and Gas (%)</t>
        </is>
      </c>
      <c r="B49" t="n">
        <v>-15</v>
      </c>
      <c r="C49" t="n">
        <v>-15</v>
      </c>
      <c r="D49" t="n">
        <v>-15</v>
      </c>
      <c r="E49" t="n">
        <v>-15</v>
      </c>
      <c r="F49" t="n">
        <v>-15</v>
      </c>
      <c r="G49" t="inlineStr"/>
    </row>
    <row r="50">
      <c r="A50" t="inlineStr">
        <is>
          <t>Revenue growth - Retail (%)</t>
        </is>
      </c>
      <c r="B50" t="n">
        <v>3</v>
      </c>
      <c r="C50" t="n">
        <v>3</v>
      </c>
      <c r="D50" t="n">
        <v>6</v>
      </c>
      <c r="E50" t="n">
        <v>8</v>
      </c>
      <c r="F50" t="n">
        <v>8</v>
      </c>
      <c r="G50" t="inlineStr"/>
    </row>
    <row r="51">
      <c r="A51" t="inlineStr">
        <is>
          <t>Revenue growth - Digital Services (%)</t>
        </is>
      </c>
      <c r="B51" t="n">
        <v>5</v>
      </c>
      <c r="C51" t="n">
        <v>5</v>
      </c>
      <c r="D51" t="n">
        <v>7</v>
      </c>
      <c r="E51" t="n">
        <v>8</v>
      </c>
      <c r="F51" t="n">
        <v>8</v>
      </c>
      <c r="G51" t="inlineStr"/>
    </row>
    <row r="52">
      <c r="A52" t="inlineStr">
        <is>
          <t>Revenue growth - Others (%)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/>
    </row>
    <row r="53">
      <c r="A53" t="inlineStr">
        <is>
          <t>EBITDA margin - O2C (%)</t>
        </is>
      </c>
      <c r="B53" t="n">
        <v>5</v>
      </c>
      <c r="C53" t="n">
        <v>5</v>
      </c>
      <c r="D53" t="n">
        <v>6.5</v>
      </c>
      <c r="E53" t="n">
        <v>8</v>
      </c>
      <c r="F53" t="n">
        <v>8.5</v>
      </c>
      <c r="G53" t="inlineStr"/>
    </row>
    <row r="54">
      <c r="A54" t="inlineStr">
        <is>
          <t>EBITDA margin - Oil and Gas (%)</t>
        </is>
      </c>
      <c r="B54" t="n">
        <v>65</v>
      </c>
      <c r="C54" t="n">
        <v>65</v>
      </c>
      <c r="D54" t="n">
        <v>65</v>
      </c>
      <c r="E54" t="n">
        <v>65</v>
      </c>
      <c r="F54" t="n">
        <v>65</v>
      </c>
      <c r="G54" t="inlineStr"/>
    </row>
    <row r="55">
      <c r="A55" t="inlineStr">
        <is>
          <t>EBITDA margin - Retail (%)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  <c r="G55" t="inlineStr"/>
    </row>
    <row r="56">
      <c r="A56" t="inlineStr">
        <is>
          <t>EBITDA margin - Digital Services (%)</t>
        </is>
      </c>
      <c r="B56" t="n">
        <v>40</v>
      </c>
      <c r="C56" t="n">
        <v>40</v>
      </c>
      <c r="D56" t="n">
        <v>41</v>
      </c>
      <c r="E56" t="n">
        <v>42</v>
      </c>
      <c r="F56" t="n">
        <v>43</v>
      </c>
      <c r="G56" t="inlineStr"/>
    </row>
    <row r="57">
      <c r="A57" t="inlineStr">
        <is>
          <t>EBITDA margin - Others (%)</t>
        </is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inlineStr"/>
    </row>
    <row r="58">
      <c r="A58" t="inlineStr">
        <is>
          <t>Capex - cash (Rs crore)</t>
        </is>
      </c>
      <c r="B58" t="n">
        <v>175000</v>
      </c>
      <c r="C58" t="n">
        <v>175000</v>
      </c>
      <c r="D58" t="n">
        <v>160000</v>
      </c>
      <c r="E58" t="n">
        <v>140000</v>
      </c>
      <c r="F58" t="n">
        <v>130000</v>
      </c>
      <c r="G58" t="inlineStr"/>
    </row>
    <row r="59">
      <c r="A59" t="inlineStr">
        <is>
          <t>Share of gross interest capitalised (%)</t>
        </is>
      </c>
      <c r="B59" t="n">
        <v>40</v>
      </c>
      <c r="C59" t="n">
        <v>35</v>
      </c>
      <c r="D59" t="n">
        <v>30</v>
      </c>
      <c r="E59" t="n">
        <v>25</v>
      </c>
      <c r="F59" t="n">
        <v>20</v>
      </c>
      <c r="G59" t="inlineStr"/>
    </row>
    <row r="60">
      <c r="A60" t="inlineStr">
        <is>
          <t>Working-capital shock (Rs crore)</t>
        </is>
      </c>
      <c r="B60" t="n">
        <v>-150000</v>
      </c>
      <c r="C60" t="n">
        <v>-30000</v>
      </c>
      <c r="D60" t="n">
        <v>0</v>
      </c>
      <c r="E60" t="n">
        <v>0</v>
      </c>
      <c r="F60" t="n">
        <v>0</v>
      </c>
      <c r="G60" t="inlineStr">
        <is>
          <t>STRESS VARIABLE (CRISIL cash-flow adequacy): FY2026 contract liabilities rose 1,09,196 to 1,72,201 (note 23) and trade/other payables added 86,609 to CFO; supplier finance is 76,377 (note 44). Bear unwinds 1,00,000 in FY2027; Tail 1,50,000 + 30,000.</t>
        </is>
      </c>
    </row>
    <row r="62">
      <c r="A62" s="2" t="inlineStr">
        <is>
          <t>Fixed driver</t>
        </is>
      </c>
      <c r="B62" s="2" t="inlineStr">
        <is>
          <t>Value</t>
        </is>
      </c>
      <c r="C62" s="2" t="inlineStr"/>
      <c r="D62" s="2" t="inlineStr"/>
      <c r="E62" s="2" t="inlineStr"/>
      <c r="F62" s="2" t="inlineStr"/>
      <c r="G62" s="2" t="inlineStr">
        <is>
          <t>Source / basis</t>
        </is>
      </c>
    </row>
    <row r="63">
      <c r="A63" t="inlineStr">
        <is>
          <t>GST recovered (% of value of sales and services)</t>
        </is>
      </c>
      <c r="B63" t="n">
        <v>8.52</v>
      </c>
      <c r="C63" t="inlineStr"/>
      <c r="D63" t="inlineStr"/>
      <c r="E63" t="inlineStr"/>
      <c r="F63" t="inlineStr"/>
      <c r="G63" t="inlineStr">
        <is>
          <t>FY2026 1,00,244 / 11,75,919</t>
        </is>
      </c>
    </row>
    <row r="64">
      <c r="A64" t="inlineStr">
        <is>
          <t>Inter-segment transfers (% of gross segment revenue)</t>
        </is>
      </c>
      <c r="B64" t="n">
        <v>10.51</v>
      </c>
      <c r="C64" t="inlineStr"/>
      <c r="D64" t="inlineStr"/>
      <c r="E64" t="inlineStr"/>
      <c r="F64" t="inlineStr"/>
      <c r="G64" t="inlineStr">
        <is>
          <t>FY2026 1,38,114 / 13,14,033</t>
        </is>
      </c>
    </row>
    <row r="65">
      <c r="A65" t="inlineStr">
        <is>
          <t>D&amp;A (% of opening capital block incl. CWIP)</t>
        </is>
      </c>
      <c r="B65" t="n">
        <v>4.57</v>
      </c>
      <c r="C65" t="inlineStr"/>
      <c r="D65" t="inlineStr"/>
      <c r="E65" t="inlineStr"/>
      <c r="F65" t="inlineStr"/>
      <c r="G65" t="inlineStr">
        <is>
          <t>FY2026 57,688 / FY2025 block 12,61,751</t>
        </is>
      </c>
    </row>
    <row r="66">
      <c r="A66" t="inlineStr">
        <is>
          <t>Inventory / receivables / payables (% of revenue)</t>
        </is>
      </c>
      <c r="B66" t="inlineStr">
        <is>
          <t>15.5 / 5.4 / 14.8</t>
        </is>
      </c>
      <c r="C66" t="inlineStr"/>
      <c r="D66" t="inlineStr"/>
      <c r="E66" t="inlineStr"/>
      <c r="F66" t="inlineStr"/>
      <c r="G66" t="inlineStr">
        <is>
          <t>FY2026 balance sheet / revenue from operations</t>
        </is>
      </c>
    </row>
    <row r="67">
      <c r="A67" t="inlineStr">
        <is>
          <t>Treasury yield on opening cash and current investments (%)</t>
        </is>
      </c>
      <c r="B67" t="n">
        <v>4.3</v>
      </c>
      <c r="C67" t="inlineStr"/>
      <c r="D67" t="inlineStr"/>
      <c r="E67" t="inlineStr"/>
      <c r="F67" t="inlineStr"/>
      <c r="G67" t="inlineStr">
        <is>
          <t>FY2026 unallocated interest income 10,395 / average cash &amp; MS 2,40,076 (segment information)</t>
        </is>
      </c>
    </row>
    <row r="68">
      <c r="A68" t="inlineStr">
        <is>
          <t>Other unallocable income / (expense), net (Rs crore)</t>
        </is>
      </c>
      <c r="B68" t="n">
        <v>-4000</v>
      </c>
      <c r="C68" t="inlineStr"/>
      <c r="D68" t="inlineStr"/>
      <c r="E68" t="inlineStr"/>
      <c r="F68" t="inlineStr"/>
      <c r="G68" t="inlineStr">
        <is>
          <t>FY2024-26: -2,393 / -3,024 / -5,794 after removing the 8,924 one-time gain</t>
        </is>
      </c>
    </row>
    <row r="69">
      <c r="A69" t="inlineStr">
        <is>
          <t>Gross interest rate on borrowings + DoT liabilities (%)</t>
        </is>
      </c>
      <c r="B69" t="n">
        <v>8</v>
      </c>
      <c r="C69" t="inlineStr"/>
      <c r="D69" t="inlineStr"/>
      <c r="E69" t="inlineStr"/>
      <c r="F69" t="inlineStr"/>
      <c r="G69" t="inlineStr">
        <is>
          <t>FY2026 (22,050 + 16,091 + 217) / avg (borrowings + DPL) 4,67,807 = 8.2%</t>
        </is>
      </c>
    </row>
    <row r="70">
      <c r="A70" t="inlineStr">
        <is>
          <t>Lease interest (Rs crore, flat; leases held flat)</t>
        </is>
      </c>
      <c r="B70" t="n">
        <v>2006</v>
      </c>
      <c r="C70" t="inlineStr"/>
      <c r="D70" t="inlineStr"/>
      <c r="E70" t="inlineStr"/>
      <c r="F70" t="inlineStr"/>
      <c r="G70" t="inlineStr">
        <is>
          <t>note 29 FY2026</t>
        </is>
      </c>
    </row>
    <row r="71">
      <c r="A71" t="inlineStr">
        <is>
          <t>Tax rate (%) / deferred share (%)</t>
        </is>
      </c>
      <c r="B71" t="inlineStr">
        <is>
          <t>23 / 50</t>
        </is>
      </c>
      <c r="C71" t="inlineStr"/>
      <c r="D71" t="inlineStr"/>
      <c r="E71" t="inlineStr"/>
      <c r="F71" t="inlineStr"/>
      <c r="G71" t="inlineStr">
        <is>
          <t>FY2026 effective 22.4%; deferred 64.7%</t>
        </is>
      </c>
    </row>
    <row r="72">
      <c r="A72" t="inlineStr">
        <is>
          <t>NCI share of profit (%)</t>
        </is>
      </c>
      <c r="B72" t="n">
        <v>15.6</v>
      </c>
      <c r="C72" t="inlineStr"/>
      <c r="D72" t="inlineStr"/>
      <c r="E72" t="inlineStr"/>
      <c r="F72" t="inlineStr"/>
      <c r="G72" t="inlineStr">
        <is>
          <t>FY2026 14,979 / 95,754</t>
        </is>
      </c>
    </row>
    <row r="73">
      <c r="A73" t="inlineStr">
        <is>
          <t>Cash + current investments floor (Rs crore)</t>
        </is>
      </c>
      <c r="B73" t="n">
        <v>200000</v>
      </c>
      <c r="C73" t="inlineStr"/>
      <c r="D73" t="inlineStr"/>
      <c r="E73" t="inlineStr"/>
      <c r="F73" t="inlineStr"/>
      <c r="G73" t="inlineStr">
        <is>
          <t>ANALYST JUDGMENT: FY2024 level 2,03,395; below it the funding gap is BORROWED (failure mode 18)</t>
        </is>
      </c>
    </row>
    <row r="74">
      <c r="A74" t="inlineStr">
        <is>
          <t>DoT instalments (Rs crore)</t>
        </is>
      </c>
      <c r="B74" t="inlineStr">
        <is>
          <t>4962, 5300, 5650, 6050, 6450</t>
        </is>
      </c>
      <c r="C74" t="inlineStr"/>
      <c r="D74" t="inlineStr"/>
      <c r="E74" t="inlineStr"/>
      <c r="F74" t="inlineStr"/>
      <c r="G74" t="inlineStr">
        <is>
          <t>FY2027 = current maturity 4,962 (note 22); later years grow with the annuity profile (judgment)</t>
        </is>
      </c>
    </row>
    <row r="75">
      <c r="A75" t="inlineStr">
        <is>
          <t>Dividend FY2027 (Rs crore) / later payout (% of prior-year owners' PAT)</t>
        </is>
      </c>
      <c r="B75" t="inlineStr">
        <is>
          <t>8569 / 10%</t>
        </is>
      </c>
      <c r="C75" t="inlineStr"/>
      <c r="D75" t="inlineStr"/>
      <c r="E75" t="inlineStr"/>
      <c r="F75" t="inlineStr"/>
      <c r="G75" t="inlineStr">
        <is>
          <t>Rs 6/share recommended for FY2026 = 8,119 (note 45) + NCI ~450; FY2026 payout 8,119 / 80,775 = 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5" t="inlineStr">
        <is>
          <t>Rs crore</t>
        </is>
      </c>
      <c r="B1" s="5" t="inlineStr">
        <is>
          <t>FY2023</t>
        </is>
      </c>
      <c r="C1" s="5" t="inlineStr">
        <is>
          <t>FY2024</t>
        </is>
      </c>
      <c r="D1" s="5" t="inlineStr">
        <is>
          <t>FY2025</t>
        </is>
      </c>
      <c r="E1" s="5" t="inlineStr">
        <is>
          <t>FY2026</t>
        </is>
      </c>
      <c r="F1" s="5" t="inlineStr">
        <is>
          <t>FY2027E</t>
        </is>
      </c>
      <c r="G1" s="5" t="inlineStr">
        <is>
          <t>FY2028E</t>
        </is>
      </c>
      <c r="H1" s="5" t="inlineStr">
        <is>
          <t>FY2029E</t>
        </is>
      </c>
      <c r="I1" s="5" t="inlineStr">
        <is>
          <t>FY2030E</t>
        </is>
      </c>
      <c r="J1" s="5" t="inlineStr">
        <is>
          <t>FY2031E</t>
        </is>
      </c>
      <c r="K1" s="5" t="inlineStr">
        <is>
          <t>Source / note</t>
        </is>
      </c>
    </row>
    <row r="2">
      <c r="A2" s="3" t="inlineStr">
        <is>
          <t>SEGMENT REVENUE (gross value of sales and services, audited segment information)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t="inlineStr">
        <is>
          <t>O2C</t>
        </is>
      </c>
      <c r="B3" s="6" t="n"/>
      <c r="C3" s="6" t="n">
        <v>564749</v>
      </c>
      <c r="D3" s="6" t="n">
        <v>626921</v>
      </c>
      <c r="E3" s="6" t="n">
        <v>662401</v>
      </c>
      <c r="F3" s="7" t="n">
        <v>695521.05</v>
      </c>
      <c r="G3" s="7" t="n">
        <v>716386.6814999999</v>
      </c>
      <c r="H3" s="7" t="n">
        <v>737878.2818999999</v>
      </c>
      <c r="I3" s="7" t="n">
        <v>760014.6304</v>
      </c>
      <c r="J3" s="7" t="n">
        <v>782815.0693</v>
      </c>
      <c r="K3" t="inlineStr">
        <is>
          <t>segment information (Q4 FY2025 / Q4 FY2026 releases)</t>
        </is>
      </c>
    </row>
    <row r="4">
      <c r="A4" t="inlineStr">
        <is>
          <t>Oil and Gas</t>
        </is>
      </c>
      <c r="B4" s="6" t="n"/>
      <c r="C4" s="6" t="n">
        <v>24439</v>
      </c>
      <c r="D4" s="6" t="n">
        <v>25211</v>
      </c>
      <c r="E4" s="6" t="n">
        <v>23861</v>
      </c>
      <c r="F4" s="7" t="n">
        <v>22667.95</v>
      </c>
      <c r="G4" s="7" t="n">
        <v>21534.5525</v>
      </c>
      <c r="H4" s="7" t="n">
        <v>20457.8249</v>
      </c>
      <c r="I4" s="7" t="n">
        <v>19434.9336</v>
      </c>
      <c r="J4" s="7" t="n">
        <v>18463.1869</v>
      </c>
      <c r="K4" t="inlineStr">
        <is>
          <t>segment information (Q4 FY2025 / Q4 FY2026 releases)</t>
        </is>
      </c>
    </row>
    <row r="5">
      <c r="A5" t="inlineStr">
        <is>
          <t>Retail</t>
        </is>
      </c>
      <c r="B5" s="6" t="n"/>
      <c r="C5" s="6" t="n">
        <v>306848</v>
      </c>
      <c r="D5" s="6" t="n">
        <v>330943</v>
      </c>
      <c r="E5" s="6" t="n">
        <v>371085</v>
      </c>
      <c r="F5" s="7" t="n">
        <v>415615.2</v>
      </c>
      <c r="G5" s="7" t="n">
        <v>465489.024</v>
      </c>
      <c r="H5" s="7" t="n">
        <v>516692.8166</v>
      </c>
      <c r="I5" s="7" t="n">
        <v>573529.0265</v>
      </c>
      <c r="J5" s="7" t="n">
        <v>630881.9291</v>
      </c>
      <c r="K5" t="inlineStr">
        <is>
          <t>segment information (Q4 FY2025 / Q4 FY2026 releases)</t>
        </is>
      </c>
    </row>
    <row r="6">
      <c r="A6" t="inlineStr">
        <is>
          <t>Digital Services</t>
        </is>
      </c>
      <c r="B6" s="6" t="n"/>
      <c r="C6" s="6" t="n">
        <v>132938</v>
      </c>
      <c r="D6" s="6" t="n">
        <v>154119</v>
      </c>
      <c r="E6" s="6" t="n">
        <v>176164</v>
      </c>
      <c r="F6" s="7" t="n">
        <v>199065.32</v>
      </c>
      <c r="G6" s="7" t="n">
        <v>222953.1584</v>
      </c>
      <c r="H6" s="7" t="n">
        <v>249707.5374</v>
      </c>
      <c r="I6" s="7" t="n">
        <v>277175.3665</v>
      </c>
      <c r="J6" s="7" t="n">
        <v>304892.9032</v>
      </c>
      <c r="K6" t="inlineStr">
        <is>
          <t>segment information (Q4 FY2025 / Q4 FY2026 releases)</t>
        </is>
      </c>
    </row>
    <row r="7">
      <c r="A7" t="inlineStr">
        <is>
          <t>Others</t>
        </is>
      </c>
      <c r="B7" s="6" t="n"/>
      <c r="C7" s="6" t="n">
        <v>80516</v>
      </c>
      <c r="D7" s="6" t="n">
        <v>55859</v>
      </c>
      <c r="E7" s="6" t="n">
        <v>80522</v>
      </c>
      <c r="F7" s="7" t="n">
        <v>88574.2</v>
      </c>
      <c r="G7" s="7" t="n">
        <v>97431.62</v>
      </c>
      <c r="H7" s="7" t="n">
        <v>107174.782</v>
      </c>
      <c r="I7" s="7" t="n">
        <v>117892.2602</v>
      </c>
      <c r="J7" s="7" t="n">
        <v>129681.4862</v>
      </c>
      <c r="K7" t="inlineStr">
        <is>
          <t>segment information (Q4 FY2025 / Q4 FY2026 releases)</t>
        </is>
      </c>
    </row>
    <row r="8">
      <c r="A8" t="inlineStr">
        <is>
          <t>Less: inter-segment transfers</t>
        </is>
      </c>
      <c r="B8" s="6" t="n"/>
      <c r="C8" s="6" t="n">
        <v>109368</v>
      </c>
      <c r="D8" s="6" t="n">
        <v>121879</v>
      </c>
      <c r="E8" s="6" t="n">
        <v>138114</v>
      </c>
      <c r="F8" s="7" t="n">
        <v>149403.6131</v>
      </c>
      <c r="G8" s="7" t="n">
        <v>160161.4477</v>
      </c>
      <c r="H8" s="7" t="n">
        <v>171525.2124</v>
      </c>
      <c r="I8" s="7" t="n">
        <v>183731.8052</v>
      </c>
      <c r="J8" s="7" t="n">
        <v>196206.7764</v>
      </c>
      <c r="K8" t="inlineStr">
        <is>
          <t>segment information</t>
        </is>
      </c>
    </row>
    <row r="9">
      <c r="A9" s="8" t="inlineStr">
        <is>
          <t>VALUE OF SALES AND SERVICES</t>
        </is>
      </c>
      <c r="B9" s="9" t="n">
        <v>974864</v>
      </c>
      <c r="C9" s="9" t="n">
        <v>1000122</v>
      </c>
      <c r="D9" s="9" t="n">
        <v>1071174</v>
      </c>
      <c r="E9" s="9" t="n">
        <v>1175919</v>
      </c>
      <c r="F9" s="10" t="n">
        <v>1272040.1069</v>
      </c>
      <c r="G9" s="10" t="n">
        <v>1363633.5887</v>
      </c>
      <c r="H9" s="10" t="n">
        <v>1460386.0305</v>
      </c>
      <c r="I9" s="10" t="n">
        <v>1564314.412</v>
      </c>
      <c r="J9" s="10" t="n">
        <v>1670527.7983</v>
      </c>
      <c r="K9" s="8" t="inlineStr">
        <is>
          <t>P&amp;L</t>
        </is>
      </c>
    </row>
    <row r="10">
      <c r="A10" t="inlineStr">
        <is>
          <t>Less: GST recovered</t>
        </is>
      </c>
      <c r="B10" s="6" t="n">
        <v>83553</v>
      </c>
      <c r="C10" s="6" t="n">
        <v>85650</v>
      </c>
      <c r="D10" s="6" t="n">
        <v>91038</v>
      </c>
      <c r="E10" s="6" t="n">
        <v>100244</v>
      </c>
      <c r="F10" s="7" t="n">
        <v>108438.0714</v>
      </c>
      <c r="G10" s="7" t="n">
        <v>116246.1747</v>
      </c>
      <c r="H10" s="7" t="n">
        <v>124494.0657</v>
      </c>
      <c r="I10" s="7" t="n">
        <v>133353.6867</v>
      </c>
      <c r="J10" s="7" t="n">
        <v>142408.0984</v>
      </c>
      <c r="K10" t="inlineStr">
        <is>
          <t>P&amp;L</t>
        </is>
      </c>
    </row>
    <row r="11">
      <c r="A11" s="8" t="inlineStr">
        <is>
          <t>REVENUE FROM OPERATIONS</t>
        </is>
      </c>
      <c r="B11" s="9" t="n">
        <v>891311</v>
      </c>
      <c r="C11" s="9" t="n">
        <v>914472</v>
      </c>
      <c r="D11" s="9" t="n">
        <v>980136</v>
      </c>
      <c r="E11" s="9" t="n">
        <v>1075675</v>
      </c>
      <c r="F11" s="10" t="n">
        <v>1163602.0355</v>
      </c>
      <c r="G11" s="10" t="n">
        <v>1247387.414</v>
      </c>
      <c r="H11" s="10" t="n">
        <v>1335891.9648</v>
      </c>
      <c r="I11" s="10" t="n">
        <v>1430960.7253</v>
      </c>
      <c r="J11" s="10" t="n">
        <v>1528119.7</v>
      </c>
      <c r="K11" s="8" t="inlineStr">
        <is>
          <t>P&amp;L (engine tie-outs)</t>
        </is>
      </c>
    </row>
    <row r="12">
      <c r="A12" s="3" t="inlineStr">
        <is>
          <t>SEGMENT EBITDA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t="inlineStr">
        <is>
          <t>O2C</t>
        </is>
      </c>
      <c r="B13" s="6" t="n"/>
      <c r="C13" s="6" t="n">
        <v>62389</v>
      </c>
      <c r="D13" s="6" t="n">
        <v>54988</v>
      </c>
      <c r="E13" s="6" t="n">
        <v>60546</v>
      </c>
      <c r="F13" s="7" t="n">
        <v>62596.8945</v>
      </c>
      <c r="G13" s="7" t="n">
        <v>64474.8013</v>
      </c>
      <c r="H13" s="7" t="n">
        <v>66409.0454</v>
      </c>
      <c r="I13" s="7" t="n">
        <v>68401.3167</v>
      </c>
      <c r="J13" s="7" t="n">
        <v>70453.35619999999</v>
      </c>
      <c r="K13" t="inlineStr">
        <is>
          <t>segment results (EBITDA)</t>
        </is>
      </c>
    </row>
    <row r="14">
      <c r="A14" t="inlineStr">
        <is>
          <t>Oil and Gas</t>
        </is>
      </c>
      <c r="B14" s="6" t="n"/>
      <c r="C14" s="6" t="n">
        <v>20191</v>
      </c>
      <c r="D14" s="6" t="n">
        <v>21188</v>
      </c>
      <c r="E14" s="6" t="n">
        <v>19050</v>
      </c>
      <c r="F14" s="7" t="n">
        <v>17227.642</v>
      </c>
      <c r="G14" s="7" t="n">
        <v>16150.9144</v>
      </c>
      <c r="H14" s="7" t="n">
        <v>15138.7904</v>
      </c>
      <c r="I14" s="7" t="n">
        <v>14187.5016</v>
      </c>
      <c r="J14" s="7" t="n">
        <v>13293.4946</v>
      </c>
      <c r="K14" t="inlineStr">
        <is>
          <t>segment results (EBITDA)</t>
        </is>
      </c>
    </row>
    <row r="15">
      <c r="A15" t="inlineStr">
        <is>
          <t>Retail</t>
        </is>
      </c>
      <c r="B15" s="6" t="n"/>
      <c r="C15" s="6" t="n">
        <v>23108</v>
      </c>
      <c r="D15" s="6" t="n">
        <v>25094</v>
      </c>
      <c r="E15" s="6" t="n">
        <v>27034</v>
      </c>
      <c r="F15" s="7" t="n">
        <v>30339.9096</v>
      </c>
      <c r="G15" s="7" t="n">
        <v>34446.1878</v>
      </c>
      <c r="H15" s="7" t="n">
        <v>38751.9612</v>
      </c>
      <c r="I15" s="7" t="n">
        <v>43014.677</v>
      </c>
      <c r="J15" s="7" t="n">
        <v>47316.1447</v>
      </c>
      <c r="K15" t="inlineStr">
        <is>
          <t>segment results (EBITDA)</t>
        </is>
      </c>
    </row>
    <row r="16">
      <c r="A16" t="inlineStr">
        <is>
          <t>Digital Services</t>
        </is>
      </c>
      <c r="B16" s="6" t="n"/>
      <c r="C16" s="6" t="n">
        <v>56675</v>
      </c>
      <c r="D16" s="6" t="n">
        <v>65001</v>
      </c>
      <c r="E16" s="6" t="n">
        <v>76560</v>
      </c>
      <c r="F16" s="7" t="n">
        <v>87588.7408</v>
      </c>
      <c r="G16" s="7" t="n">
        <v>99214.15549999999</v>
      </c>
      <c r="H16" s="7" t="n">
        <v>112368.3918</v>
      </c>
      <c r="I16" s="7" t="n">
        <v>124728.9149</v>
      </c>
      <c r="J16" s="7" t="n">
        <v>137201.8064</v>
      </c>
      <c r="K16" t="inlineStr">
        <is>
          <t>segment results (EBITDA)</t>
        </is>
      </c>
    </row>
    <row r="17">
      <c r="A17" t="inlineStr">
        <is>
          <t>Others</t>
        </is>
      </c>
      <c r="B17" s="6" t="n"/>
      <c r="C17" s="6" t="n">
        <v>8466</v>
      </c>
      <c r="D17" s="6" t="n">
        <v>8526</v>
      </c>
      <c r="E17" s="6" t="n">
        <v>10857</v>
      </c>
      <c r="F17" s="7" t="n">
        <v>11957.517</v>
      </c>
      <c r="G17" s="7" t="n">
        <v>13153.2687</v>
      </c>
      <c r="H17" s="7" t="n">
        <v>14468.5956</v>
      </c>
      <c r="I17" s="7" t="n">
        <v>15915.4551</v>
      </c>
      <c r="J17" s="7" t="n">
        <v>17507.0006</v>
      </c>
      <c r="K17" t="inlineStr">
        <is>
          <t>segment results (EBITDA)</t>
        </is>
      </c>
    </row>
    <row r="18">
      <c r="A18" s="3" t="inlineStr">
        <is>
          <t>OPERATING METRICS (history; drive the narrative, not the model)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t="inlineStr">
        <is>
          <t>Jio subscribers (mn)</t>
        </is>
      </c>
      <c r="B19" s="11" t="n"/>
      <c r="C19" s="11" t="n">
        <v>481.8</v>
      </c>
      <c r="D19" s="11" t="n">
        <v>488.2</v>
      </c>
      <c r="E19" s="11" t="n">
        <v>524.4</v>
      </c>
      <c r="F19" s="12" t="n"/>
      <c r="G19" s="12" t="n"/>
      <c r="H19" s="12" t="n"/>
      <c r="I19" s="12" t="n"/>
      <c r="J19" s="12" t="n"/>
      <c r="K19" t="inlineStr">
        <is>
          <t>Q4 releases</t>
        </is>
      </c>
    </row>
    <row r="20">
      <c r="A20" t="inlineStr">
        <is>
          <t>Jio ARPU Q4 (Rs/month)</t>
        </is>
      </c>
      <c r="B20" s="11" t="n"/>
      <c r="C20" s="11" t="n">
        <v>181.7</v>
      </c>
      <c r="D20" s="11" t="n">
        <v>206.2</v>
      </c>
      <c r="E20" s="11" t="n">
        <v>214</v>
      </c>
      <c r="F20" s="12" t="n"/>
      <c r="G20" s="12" t="n"/>
      <c r="H20" s="12" t="n"/>
      <c r="I20" s="12" t="n"/>
      <c r="J20" s="12" t="n"/>
      <c r="K20" t="inlineStr">
        <is>
          <t>Q4 releases</t>
        </is>
      </c>
    </row>
    <row r="21">
      <c r="A21" t="inlineStr">
        <is>
          <t>O2C throughput (MMT)</t>
        </is>
      </c>
      <c r="B21" s="11" t="n"/>
      <c r="C21" s="11" t="n">
        <v>78.2</v>
      </c>
      <c r="D21" s="11" t="n">
        <v>80.5</v>
      </c>
      <c r="E21" s="11" t="n">
        <v>80</v>
      </c>
      <c r="F21" s="12" t="n"/>
      <c r="G21" s="12" t="n"/>
      <c r="H21" s="12" t="n"/>
      <c r="I21" s="12" t="n"/>
      <c r="J21" s="12" t="n"/>
      <c r="K21" t="inlineStr">
        <is>
          <t>Q4 releases</t>
        </is>
      </c>
    </row>
    <row r="22">
      <c r="A22" t="inlineStr">
        <is>
          <t>KG D6 production (BCFe)</t>
        </is>
      </c>
      <c r="B22" s="11" t="n"/>
      <c r="C22" s="11" t="n">
        <v>260.3</v>
      </c>
      <c r="D22" s="11" t="n">
        <v>270.9</v>
      </c>
      <c r="E22" s="11" t="n">
        <v>248.8</v>
      </c>
      <c r="F22" s="12" t="n"/>
      <c r="G22" s="12" t="n"/>
      <c r="H22" s="12" t="n"/>
      <c r="I22" s="12" t="n"/>
      <c r="J22" s="12" t="n"/>
      <c r="K22" t="inlineStr">
        <is>
          <t>Q4 releases</t>
        </is>
      </c>
    </row>
    <row r="23">
      <c r="A23" t="inlineStr">
        <is>
          <t>Retail stores (nos.)</t>
        </is>
      </c>
      <c r="B23" s="11" t="n"/>
      <c r="C23" s="11" t="n"/>
      <c r="D23" s="11" t="n">
        <v>19340</v>
      </c>
      <c r="E23" s="11" t="n">
        <v>20160</v>
      </c>
      <c r="F23" s="12" t="n"/>
      <c r="G23" s="12" t="n"/>
      <c r="H23" s="12" t="n"/>
      <c r="I23" s="12" t="n"/>
      <c r="J23" s="12" t="n"/>
      <c r="K23" t="inlineStr">
        <is>
          <t>Q4 releases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5" t="inlineStr">
        <is>
          <t>Rs crore</t>
        </is>
      </c>
      <c r="B1" s="5" t="inlineStr">
        <is>
          <t>FY2023</t>
        </is>
      </c>
      <c r="C1" s="5" t="inlineStr">
        <is>
          <t>FY2024</t>
        </is>
      </c>
      <c r="D1" s="5" t="inlineStr">
        <is>
          <t>FY2025</t>
        </is>
      </c>
      <c r="E1" s="5" t="inlineStr">
        <is>
          <t>FY2026</t>
        </is>
      </c>
      <c r="F1" s="5" t="inlineStr">
        <is>
          <t>FY2027E</t>
        </is>
      </c>
      <c r="G1" s="5" t="inlineStr">
        <is>
          <t>FY2028E</t>
        </is>
      </c>
      <c r="H1" s="5" t="inlineStr">
        <is>
          <t>FY2029E</t>
        </is>
      </c>
      <c r="I1" s="5" t="inlineStr">
        <is>
          <t>FY2030E</t>
        </is>
      </c>
      <c r="J1" s="5" t="inlineStr">
        <is>
          <t>FY2031E</t>
        </is>
      </c>
      <c r="K1" s="5" t="inlineStr">
        <is>
          <t>Source / note</t>
        </is>
      </c>
    </row>
    <row r="2">
      <c r="A2" s="8" t="inlineStr">
        <is>
          <t>Revenue from operations (net of GST)</t>
        </is>
      </c>
      <c r="B2" s="9" t="n">
        <v>891311</v>
      </c>
      <c r="C2" s="9" t="n">
        <v>914472</v>
      </c>
      <c r="D2" s="9" t="n">
        <v>980136</v>
      </c>
      <c r="E2" s="9" t="n">
        <v>1075675</v>
      </c>
      <c r="F2" s="10" t="n">
        <v>1163602.0355</v>
      </c>
      <c r="G2" s="10" t="n">
        <v>1247387.414</v>
      </c>
      <c r="H2" s="10" t="n">
        <v>1335891.9648</v>
      </c>
      <c r="I2" s="10" t="n">
        <v>1430960.7253</v>
      </c>
      <c r="J2" s="10" t="n">
        <v>1528119.7</v>
      </c>
      <c r="K2" s="8" t="inlineStr">
        <is>
          <t>P&amp;L</t>
        </is>
      </c>
    </row>
    <row r="3">
      <c r="A3" s="8" t="inlineStr">
        <is>
          <t>PBDIT (CRISIL: incl. recurring other income, excl. one-time)</t>
        </is>
      </c>
      <c r="B3" s="9" t="n">
        <v>153896</v>
      </c>
      <c r="C3" s="9" t="n">
        <v>178290</v>
      </c>
      <c r="D3" s="9" t="n">
        <v>183422</v>
      </c>
      <c r="E3" s="9" t="n">
        <v>198987</v>
      </c>
      <c r="F3" s="10" t="n">
        <v>216177.2479</v>
      </c>
      <c r="G3" s="10" t="n">
        <v>233572.4004</v>
      </c>
      <c r="H3" s="10" t="n">
        <v>253845.2068</v>
      </c>
      <c r="I3" s="10" t="n">
        <v>274720.0368</v>
      </c>
      <c r="J3" s="10" t="n">
        <v>296983.9793</v>
      </c>
      <c r="K3" s="8" t="inlineStr">
        <is>
          <t>history = engine; projection = segment EBITDA + treasury yield + unallocable</t>
        </is>
      </c>
    </row>
    <row r="4">
      <c r="A4" t="inlineStr">
        <is>
          <t>One-time income (profit on sale of listed investments)</t>
        </is>
      </c>
      <c r="B4" s="6" t="n">
        <v>0</v>
      </c>
      <c r="C4" s="6" t="n">
        <v>0</v>
      </c>
      <c r="D4" s="6" t="n">
        <v>0</v>
      </c>
      <c r="E4" s="6" t="n">
        <v>8924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t="inlineStr">
        <is>
          <t>Q4 FY2026 release note 5</t>
        </is>
      </c>
    </row>
    <row r="5">
      <c r="A5" t="inlineStr">
        <is>
          <t>Depreciation, amortisation and depletion</t>
        </is>
      </c>
      <c r="B5" s="6" t="n">
        <v>40303</v>
      </c>
      <c r="C5" s="6" t="n">
        <v>50832</v>
      </c>
      <c r="D5" s="6" t="n">
        <v>53136</v>
      </c>
      <c r="E5" s="6" t="n">
        <v>57688</v>
      </c>
      <c r="F5" s="7" t="n">
        <v>62293.435</v>
      </c>
      <c r="G5" s="7" t="n">
        <v>67000.51119999999</v>
      </c>
      <c r="H5" s="7" t="n">
        <v>71170.0704</v>
      </c>
      <c r="I5" s="7" t="n">
        <v>74599.5848</v>
      </c>
      <c r="J5" s="7" t="n">
        <v>77553.152</v>
      </c>
      <c r="K5" t="inlineStr">
        <is>
          <t>P&amp;L; projected on opening block</t>
        </is>
      </c>
    </row>
    <row r="6">
      <c r="A6" t="inlineStr">
        <is>
          <t>Finance costs (P&amp;L, net of capitalised interest)</t>
        </is>
      </c>
      <c r="B6" s="6" t="n">
        <v>19571</v>
      </c>
      <c r="C6" s="6" t="n">
        <v>23118</v>
      </c>
      <c r="D6" s="6" t="n">
        <v>24269</v>
      </c>
      <c r="E6" s="6" t="n">
        <v>27061</v>
      </c>
      <c r="F6" s="7" t="n">
        <v>24875.792</v>
      </c>
      <c r="G6" s="7" t="n">
        <v>26514.796</v>
      </c>
      <c r="H6" s="7" t="n">
        <v>28093.488</v>
      </c>
      <c r="I6" s="7" t="n">
        <v>29605.88</v>
      </c>
      <c r="J6" s="7" t="n">
        <v>31045.872</v>
      </c>
      <c r="K6" t="inlineStr">
        <is>
          <t>P&amp;L / note 29</t>
        </is>
      </c>
    </row>
    <row r="7">
      <c r="A7" t="inlineStr">
        <is>
          <t>Memo: interest capitalised</t>
        </is>
      </c>
      <c r="B7" s="6" t="n">
        <v>8830</v>
      </c>
      <c r="C7" s="6" t="n">
        <v>15222</v>
      </c>
      <c r="D7" s="6" t="n">
        <v>18283</v>
      </c>
      <c r="E7" s="6" t="n">
        <v>16091</v>
      </c>
      <c r="F7" s="7" t="n">
        <v>15246.528</v>
      </c>
      <c r="G7" s="7" t="n">
        <v>13197.044</v>
      </c>
      <c r="H7" s="7" t="n">
        <v>11180.352</v>
      </c>
      <c r="I7" s="7" t="n">
        <v>9199.959999999999</v>
      </c>
      <c r="J7" s="7" t="n">
        <v>7259.968</v>
      </c>
      <c r="K7" t="inlineStr">
        <is>
          <t>note 29 footnote</t>
        </is>
      </c>
    </row>
    <row r="8">
      <c r="A8" t="inlineStr">
        <is>
          <t>Profit before tax (before associates)</t>
        </is>
      </c>
      <c r="B8" s="6" t="n">
        <v>94022</v>
      </c>
      <c r="C8" s="6" t="n">
        <v>104340</v>
      </c>
      <c r="D8" s="6" t="n">
        <v>106017</v>
      </c>
      <c r="E8" s="6" t="n">
        <v>123162</v>
      </c>
      <c r="F8" s="7" t="n">
        <v>129008.0209</v>
      </c>
      <c r="G8" s="7" t="n">
        <v>140057.0933</v>
      </c>
      <c r="H8" s="7" t="n">
        <v>154581.6483</v>
      </c>
      <c r="I8" s="7" t="n">
        <v>170514.5721</v>
      </c>
      <c r="J8" s="7" t="n">
        <v>188384.9552</v>
      </c>
      <c r="K8" t="inlineStr">
        <is>
          <t>P&amp;L (tied)</t>
        </is>
      </c>
    </row>
    <row r="9">
      <c r="A9" t="inlineStr">
        <is>
          <t>Tax expense (current + deferred)</t>
        </is>
      </c>
      <c r="B9" s="6" t="n">
        <v>20376</v>
      </c>
      <c r="C9" s="6" t="n">
        <v>25707</v>
      </c>
      <c r="D9" s="6" t="n">
        <v>25230</v>
      </c>
      <c r="E9" s="6" t="n">
        <v>27552</v>
      </c>
      <c r="F9" s="7" t="n">
        <v>29671.8448</v>
      </c>
      <c r="G9" s="7" t="n">
        <v>32213.1315</v>
      </c>
      <c r="H9" s="7" t="n">
        <v>35553.7791</v>
      </c>
      <c r="I9" s="7" t="n">
        <v>39218.3516</v>
      </c>
      <c r="J9" s="7" t="n">
        <v>43328.5397</v>
      </c>
      <c r="K9" t="inlineStr">
        <is>
          <t>P&amp;L</t>
        </is>
      </c>
    </row>
    <row r="10">
      <c r="A10" t="inlineStr">
        <is>
          <t>Share of associates / JVs (+ FY2023 discontinued)</t>
        </is>
      </c>
      <c r="B10" s="6" t="n">
        <v>442</v>
      </c>
      <c r="C10" s="6" t="n">
        <v>387</v>
      </c>
      <c r="D10" s="6" t="n">
        <v>522</v>
      </c>
      <c r="E10" s="6" t="n">
        <v>144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t="inlineStr">
        <is>
          <t>P&amp;L; not projected</t>
        </is>
      </c>
    </row>
    <row r="11">
      <c r="A11" s="8" t="inlineStr">
        <is>
          <t>PROFIT FOR THE YEAR</t>
        </is>
      </c>
      <c r="B11" s="9" t="n">
        <v>74088</v>
      </c>
      <c r="C11" s="9" t="n">
        <v>79020</v>
      </c>
      <c r="D11" s="9" t="n">
        <v>81309</v>
      </c>
      <c r="E11" s="9" t="n">
        <v>95754</v>
      </c>
      <c r="F11" s="10" t="n">
        <v>99336.1761</v>
      </c>
      <c r="G11" s="10" t="n">
        <v>107843.9618</v>
      </c>
      <c r="H11" s="10" t="n">
        <v>119027.8692</v>
      </c>
      <c r="I11" s="10" t="n">
        <v>131296.2205</v>
      </c>
      <c r="J11" s="10" t="n">
        <v>145056.4155</v>
      </c>
      <c r="K11" s="8" t="inlineStr">
        <is>
          <t>P&amp;L printed (tied)</t>
        </is>
      </c>
    </row>
    <row r="12">
      <c r="A12" t="inlineStr">
        <is>
          <t>of which non-controlling interest</t>
        </is>
      </c>
      <c r="B12" s="6" t="n">
        <v>7386</v>
      </c>
      <c r="C12" s="6" t="n">
        <v>9399</v>
      </c>
      <c r="D12" s="6" t="n">
        <v>11661</v>
      </c>
      <c r="E12" s="6" t="n">
        <v>14979</v>
      </c>
      <c r="F12" s="7" t="n">
        <v>15496.4435</v>
      </c>
      <c r="G12" s="7" t="n">
        <v>16823.658</v>
      </c>
      <c r="H12" s="7" t="n">
        <v>18568.3476</v>
      </c>
      <c r="I12" s="7" t="n">
        <v>20482.2104</v>
      </c>
      <c r="J12" s="7" t="n">
        <v>22628.8008</v>
      </c>
      <c r="K12" t="inlineStr">
        <is>
          <t>P&amp;L attribution</t>
        </is>
      </c>
    </row>
    <row r="13">
      <c r="A13" t="inlineStr">
        <is>
          <t>of which owners of the company</t>
        </is>
      </c>
      <c r="B13" s="6" t="n">
        <v>66702</v>
      </c>
      <c r="C13" s="6" t="n">
        <v>69621</v>
      </c>
      <c r="D13" s="6" t="n">
        <v>69648</v>
      </c>
      <c r="E13" s="6" t="n">
        <v>80775</v>
      </c>
      <c r="F13" s="7" t="n">
        <v>83839.7326</v>
      </c>
      <c r="G13" s="7" t="n">
        <v>91020.30379999999</v>
      </c>
      <c r="H13" s="7" t="n">
        <v>100459.5216</v>
      </c>
      <c r="I13" s="7" t="n">
        <v>110814.0101</v>
      </c>
      <c r="J13" s="7" t="n">
        <v>122427.6147</v>
      </c>
      <c r="K13" t="inlineStr">
        <is>
          <t>P&amp;L attribution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5" t="inlineStr">
        <is>
          <t>Rs crore</t>
        </is>
      </c>
      <c r="B1" s="5" t="inlineStr">
        <is>
          <t>FY2023</t>
        </is>
      </c>
      <c r="C1" s="5" t="inlineStr">
        <is>
          <t>FY2024</t>
        </is>
      </c>
      <c r="D1" s="5" t="inlineStr">
        <is>
          <t>FY2025</t>
        </is>
      </c>
      <c r="E1" s="5" t="inlineStr">
        <is>
          <t>FY2026</t>
        </is>
      </c>
      <c r="F1" s="5" t="inlineStr">
        <is>
          <t>FY2027E</t>
        </is>
      </c>
      <c r="G1" s="5" t="inlineStr">
        <is>
          <t>FY2028E</t>
        </is>
      </c>
      <c r="H1" s="5" t="inlineStr">
        <is>
          <t>FY2029E</t>
        </is>
      </c>
      <c r="I1" s="5" t="inlineStr">
        <is>
          <t>FY2030E</t>
        </is>
      </c>
      <c r="J1" s="5" t="inlineStr">
        <is>
          <t>FY2031E</t>
        </is>
      </c>
      <c r="K1" s="5" t="inlineStr">
        <is>
          <t>Source / note</t>
        </is>
      </c>
    </row>
    <row r="2">
      <c r="A2" s="8" t="inlineStr">
        <is>
          <t>Net cash from operating activities</t>
        </is>
      </c>
      <c r="B2" s="9" t="n">
        <v>115032</v>
      </c>
      <c r="C2" s="9" t="n">
        <v>158788</v>
      </c>
      <c r="D2" s="9" t="n">
        <v>178703</v>
      </c>
      <c r="E2" s="9" t="n">
        <v>192113</v>
      </c>
      <c r="F2" s="10" t="n">
        <v>171022.3826</v>
      </c>
      <c r="G2" s="10" t="n">
        <v>185764.2784</v>
      </c>
      <c r="H2" s="10" t="n">
        <v>202495.9271</v>
      </c>
      <c r="I2" s="10" t="n">
        <v>219619.7195</v>
      </c>
      <c r="J2" s="10" t="n">
        <v>238259.1805</v>
      </c>
      <c r="K2" s="8" t="inlineStr">
        <is>
          <t>historical: cash-flow statement; projected: PAT + D&amp;A + deferred tax - change in inventory and receivables + change in payables and other current liabilities (incl. the stress shock)</t>
        </is>
      </c>
    </row>
    <row r="3">
      <c r="A3" t="inlineStr">
        <is>
          <t>Capex - PPE, spectrum, intangibles</t>
        </is>
      </c>
      <c r="B3" s="6" t="n">
        <v>140988</v>
      </c>
      <c r="C3" s="6" t="n">
        <v>152883</v>
      </c>
      <c r="D3" s="6" t="n">
        <v>139967</v>
      </c>
      <c r="E3" s="6" t="n">
        <v>122916</v>
      </c>
      <c r="F3" s="7" t="n">
        <v>150000</v>
      </c>
      <c r="G3" s="7" t="n">
        <v>145000</v>
      </c>
      <c r="H3" s="7" t="n">
        <v>135000</v>
      </c>
      <c r="I3" s="7" t="n">
        <v>130000</v>
      </c>
      <c r="J3" s="7" t="n">
        <v>125000</v>
      </c>
      <c r="K3" t="inlineStr">
        <is>
          <t>cash-flow statement</t>
        </is>
      </c>
    </row>
    <row r="4">
      <c r="A4" t="inlineStr">
        <is>
          <t>Interest capitalised (paid in cash, added to block)</t>
        </is>
      </c>
      <c r="B4" s="6" t="n">
        <v>8830</v>
      </c>
      <c r="C4" s="6" t="n">
        <v>15222</v>
      </c>
      <c r="D4" s="6" t="n">
        <v>18283</v>
      </c>
      <c r="E4" s="6" t="n">
        <v>16091</v>
      </c>
      <c r="F4" s="7" t="n">
        <v>15246.528</v>
      </c>
      <c r="G4" s="7" t="n">
        <v>13197.044</v>
      </c>
      <c r="H4" s="7" t="n">
        <v>11180.352</v>
      </c>
      <c r="I4" s="7" t="n">
        <v>9199.959999999999</v>
      </c>
      <c r="J4" s="7" t="n">
        <v>7259.968</v>
      </c>
      <c r="K4" t="inlineStr">
        <is>
          <t>inside 'interest paid' historically</t>
        </is>
      </c>
    </row>
    <row r="5">
      <c r="A5" t="inlineStr">
        <is>
          <t>Payment of DoT deferred payment liabilities</t>
        </is>
      </c>
      <c r="B5" s="6" t="n">
        <v>0</v>
      </c>
      <c r="C5" s="6" t="n">
        <v>4423</v>
      </c>
      <c r="D5" s="6" t="n">
        <v>4574</v>
      </c>
      <c r="E5" s="6" t="n">
        <v>4736</v>
      </c>
      <c r="F5" s="7" t="n">
        <v>4962</v>
      </c>
      <c r="G5" s="7" t="n">
        <v>5300</v>
      </c>
      <c r="H5" s="7" t="n">
        <v>5650</v>
      </c>
      <c r="I5" s="7" t="n">
        <v>6050</v>
      </c>
      <c r="J5" s="7" t="n">
        <v>6450</v>
      </c>
      <c r="K5" t="inlineStr">
        <is>
          <t>cash-flow statement</t>
        </is>
      </c>
    </row>
    <row r="6">
      <c r="A6" t="inlineStr">
        <is>
          <t>Dividends paid (owners + NCI)</t>
        </is>
      </c>
      <c r="B6" s="6" t="n">
        <v>5083</v>
      </c>
      <c r="C6" s="6" t="n">
        <v>6089</v>
      </c>
      <c r="D6" s="6" t="n">
        <v>7180</v>
      </c>
      <c r="E6" s="6" t="n">
        <v>7879</v>
      </c>
      <c r="F6" s="7" t="n">
        <v>8569</v>
      </c>
      <c r="G6" s="7" t="n">
        <v>8887.011699999999</v>
      </c>
      <c r="H6" s="7" t="n">
        <v>9648.1522</v>
      </c>
      <c r="I6" s="7" t="n">
        <v>10648.7093</v>
      </c>
      <c r="J6" s="7" t="n">
        <v>11746.2851</v>
      </c>
      <c r="K6" t="inlineStr">
        <is>
          <t>cash-flow statement</t>
        </is>
      </c>
    </row>
    <row r="7">
      <c r="A7" t="inlineStr">
        <is>
          <t>New borrowing (DERIVED: funding gap below the cash floor)</t>
        </is>
      </c>
      <c r="B7" s="6" t="n"/>
      <c r="C7" s="6" t="n"/>
      <c r="D7" s="6" t="n"/>
      <c r="E7" s="6" t="n"/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t="inlineStr">
        <is>
          <t>zero unless cash + current investments &lt; floor</t>
        </is>
      </c>
    </row>
    <row r="8">
      <c r="A8" s="8" t="inlineStr">
        <is>
          <t>Closing cash and current investments</t>
        </is>
      </c>
      <c r="B8" s="9" t="n">
        <v>187137</v>
      </c>
      <c r="C8" s="9" t="n">
        <v>203395</v>
      </c>
      <c r="D8" s="9" t="n">
        <v>225211</v>
      </c>
      <c r="E8" s="9" t="n">
        <v>243408</v>
      </c>
      <c r="F8" s="10" t="n">
        <v>235652.8546</v>
      </c>
      <c r="G8" s="10" t="n">
        <v>249033.0774</v>
      </c>
      <c r="H8" s="10" t="n">
        <v>290050.5003</v>
      </c>
      <c r="I8" s="10" t="n">
        <v>353771.5505</v>
      </c>
      <c r="J8" s="10" t="n">
        <v>441574.4779</v>
      </c>
      <c r="K8" s="8" t="inlineStr">
        <is>
          <t>balance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5" t="inlineStr">
        <is>
          <t>Rs crore</t>
        </is>
      </c>
      <c r="B1" s="5" t="inlineStr">
        <is>
          <t>FY2023</t>
        </is>
      </c>
      <c r="C1" s="5" t="inlineStr">
        <is>
          <t>FY2024</t>
        </is>
      </c>
      <c r="D1" s="5" t="inlineStr">
        <is>
          <t>FY2025</t>
        </is>
      </c>
      <c r="E1" s="5" t="inlineStr">
        <is>
          <t>FY2026</t>
        </is>
      </c>
      <c r="F1" s="5" t="inlineStr">
        <is>
          <t>FY2027E</t>
        </is>
      </c>
      <c r="G1" s="5" t="inlineStr">
        <is>
          <t>FY2028E</t>
        </is>
      </c>
      <c r="H1" s="5" t="inlineStr">
        <is>
          <t>FY2029E</t>
        </is>
      </c>
      <c r="I1" s="5" t="inlineStr">
        <is>
          <t>FY2030E</t>
        </is>
      </c>
      <c r="J1" s="5" t="inlineStr">
        <is>
          <t>FY2031E</t>
        </is>
      </c>
      <c r="K1" s="5" t="inlineStr">
        <is>
          <t>Source / note</t>
        </is>
      </c>
    </row>
    <row r="2">
      <c r="A2" t="inlineStr">
        <is>
          <t>Capital block (PPE, spectrum, intangibles, goodwill, CWIP, under development)</t>
        </is>
      </c>
      <c r="B2" s="6" t="n">
        <v>1018557</v>
      </c>
      <c r="C2" s="6" t="n">
        <v>1118840</v>
      </c>
      <c r="D2" s="6" t="n">
        <v>1261751</v>
      </c>
      <c r="E2" s="6" t="n">
        <v>1362481</v>
      </c>
      <c r="F2" s="7" t="n">
        <v>1465434.093</v>
      </c>
      <c r="G2" s="7" t="n">
        <v>1556630.6258</v>
      </c>
      <c r="H2" s="7" t="n">
        <v>1631640.9074</v>
      </c>
      <c r="I2" s="7" t="n">
        <v>1696241.2826</v>
      </c>
      <c r="J2" s="7" t="n">
        <v>1750948.0986</v>
      </c>
      <c r="K2" t="inlineStr"/>
    </row>
    <row r="3">
      <c r="A3" t="inlineStr">
        <is>
          <t>Investments and other non-current assets</t>
        </is>
      </c>
      <c r="B3" s="6" t="n">
        <v>163578</v>
      </c>
      <c r="C3" s="6" t="n">
        <v>167046</v>
      </c>
      <c r="D3" s="6" t="n">
        <v>189100</v>
      </c>
      <c r="E3" s="6" t="n">
        <v>221410</v>
      </c>
      <c r="F3" s="7" t="n">
        <v>221410</v>
      </c>
      <c r="G3" s="7" t="n">
        <v>221410</v>
      </c>
      <c r="H3" s="7" t="n">
        <v>221410</v>
      </c>
      <c r="I3" s="7" t="n">
        <v>221410</v>
      </c>
      <c r="J3" s="7" t="n">
        <v>221410</v>
      </c>
      <c r="K3" t="inlineStr"/>
    </row>
    <row r="4">
      <c r="A4" t="inlineStr">
        <is>
          <t>Inventories</t>
        </is>
      </c>
      <c r="B4" s="6" t="n">
        <v>140008</v>
      </c>
      <c r="C4" s="6" t="n">
        <v>152770</v>
      </c>
      <c r="D4" s="6" t="n">
        <v>146062</v>
      </c>
      <c r="E4" s="6" t="n">
        <v>166941</v>
      </c>
      <c r="F4" s="7" t="n">
        <v>180586.9686</v>
      </c>
      <c r="G4" s="7" t="n">
        <v>193590.1664</v>
      </c>
      <c r="H4" s="7" t="n">
        <v>207325.7634</v>
      </c>
      <c r="I4" s="7" t="n">
        <v>222080.1027</v>
      </c>
      <c r="J4" s="7" t="n">
        <v>237158.8359</v>
      </c>
      <c r="K4" t="inlineStr"/>
    </row>
    <row r="5">
      <c r="A5" t="inlineStr">
        <is>
          <t>Trade receivables</t>
        </is>
      </c>
      <c r="B5" s="6" t="n">
        <v>28448</v>
      </c>
      <c r="C5" s="6" t="n">
        <v>31628</v>
      </c>
      <c r="D5" s="6" t="n">
        <v>42121</v>
      </c>
      <c r="E5" s="6" t="n">
        <v>58491</v>
      </c>
      <c r="F5" s="7" t="n">
        <v>63272.1283</v>
      </c>
      <c r="G5" s="7" t="n">
        <v>67828.0496</v>
      </c>
      <c r="H5" s="7" t="n">
        <v>72640.5809</v>
      </c>
      <c r="I5" s="7" t="n">
        <v>77810.0484</v>
      </c>
      <c r="J5" s="7" t="n">
        <v>83093.1735</v>
      </c>
      <c r="K5" t="inlineStr"/>
    </row>
    <row r="6">
      <c r="A6" t="inlineStr">
        <is>
          <t>Cash and current investments</t>
        </is>
      </c>
      <c r="B6" s="6" t="n">
        <v>187137</v>
      </c>
      <c r="C6" s="6" t="n">
        <v>203395</v>
      </c>
      <c r="D6" s="6" t="n">
        <v>225211</v>
      </c>
      <c r="E6" s="6" t="n">
        <v>243408</v>
      </c>
      <c r="F6" s="7" t="n">
        <v>235652.8546</v>
      </c>
      <c r="G6" s="7" t="n">
        <v>249033.0774</v>
      </c>
      <c r="H6" s="7" t="n">
        <v>290050.5003</v>
      </c>
      <c r="I6" s="7" t="n">
        <v>353771.5505</v>
      </c>
      <c r="J6" s="7" t="n">
        <v>441574.4779</v>
      </c>
      <c r="K6" t="inlineStr"/>
    </row>
    <row r="7">
      <c r="A7" t="inlineStr">
        <is>
          <t>Other current assets</t>
        </is>
      </c>
      <c r="B7" s="6" t="n">
        <v>69703</v>
      </c>
      <c r="C7" s="6" t="n">
        <v>82307</v>
      </c>
      <c r="D7" s="6" t="n">
        <v>85876</v>
      </c>
      <c r="E7" s="6" t="n">
        <v>125409</v>
      </c>
      <c r="F7" s="7" t="n">
        <v>125409</v>
      </c>
      <c r="G7" s="7" t="n">
        <v>125409</v>
      </c>
      <c r="H7" s="7" t="n">
        <v>125409</v>
      </c>
      <c r="I7" s="7" t="n">
        <v>125409</v>
      </c>
      <c r="J7" s="7" t="n">
        <v>125409</v>
      </c>
      <c r="K7" t="inlineStr"/>
    </row>
    <row r="8">
      <c r="A8" s="8" t="inlineStr">
        <is>
          <t>TOTAL ASSETS</t>
        </is>
      </c>
      <c r="B8" s="9" t="n">
        <v>1607431</v>
      </c>
      <c r="C8" s="9" t="n">
        <v>1755986</v>
      </c>
      <c r="D8" s="9" t="n">
        <v>1950121</v>
      </c>
      <c r="E8" s="9" t="n">
        <v>2178140</v>
      </c>
      <c r="F8" s="10" t="n">
        <v>2291765.0445</v>
      </c>
      <c r="G8" s="10" t="n">
        <v>2413900.9193</v>
      </c>
      <c r="H8" s="10" t="n">
        <v>2548476.752</v>
      </c>
      <c r="I8" s="10" t="n">
        <v>2696721.9841</v>
      </c>
      <c r="J8" s="10" t="n">
        <v>2859593.5859</v>
      </c>
      <c r="K8" s="8" t="inlineStr">
        <is>
          <t>consolidated balance sheet (grouped; totals tie to the AR)</t>
        </is>
      </c>
    </row>
    <row r="9">
      <c r="A9" s="8" t="inlineStr">
        <is>
          <t>Equity attributable to owners</t>
        </is>
      </c>
      <c r="B9" s="9" t="n">
        <v>715872</v>
      </c>
      <c r="C9" s="9" t="n">
        <v>793481</v>
      </c>
      <c r="D9" s="9" t="n">
        <v>843200</v>
      </c>
      <c r="E9" s="9" t="n">
        <v>904030</v>
      </c>
      <c r="F9" s="10" t="n">
        <v>979750.7326</v>
      </c>
      <c r="G9" s="10" t="n">
        <v>1062772.7259</v>
      </c>
      <c r="H9" s="10" t="n">
        <v>1154548.9105</v>
      </c>
      <c r="I9" s="10" t="n">
        <v>1255779.0823</v>
      </c>
      <c r="J9" s="10" t="n">
        <v>1367635.0404</v>
      </c>
      <c r="K9" s="8" t="inlineStr"/>
    </row>
    <row r="10">
      <c r="A10" t="inlineStr">
        <is>
          <t>Non-controlling interest</t>
        </is>
      </c>
      <c r="B10" s="6" t="n">
        <v>113009</v>
      </c>
      <c r="C10" s="6" t="n">
        <v>132307</v>
      </c>
      <c r="D10" s="6" t="n">
        <v>166426</v>
      </c>
      <c r="E10" s="6" t="n">
        <v>181836</v>
      </c>
      <c r="F10" s="7" t="n">
        <v>196882.4435</v>
      </c>
      <c r="G10" s="7" t="n">
        <v>212817.4003</v>
      </c>
      <c r="H10" s="7" t="n">
        <v>230420.9327</v>
      </c>
      <c r="I10" s="7" t="n">
        <v>249838.2722</v>
      </c>
      <c r="J10" s="7" t="n">
        <v>271292.4445</v>
      </c>
      <c r="K10" t="inlineStr"/>
    </row>
    <row r="11">
      <c r="A11" t="inlineStr">
        <is>
          <t>Borrowings (non-current + current)</t>
        </is>
      </c>
      <c r="B11" s="6" t="n">
        <v>313966</v>
      </c>
      <c r="C11" s="6" t="n">
        <v>324622</v>
      </c>
      <c r="D11" s="6" t="n">
        <v>347530</v>
      </c>
      <c r="E11" s="6" t="n">
        <v>374421</v>
      </c>
      <c r="F11" s="7" t="n">
        <v>374421</v>
      </c>
      <c r="G11" s="7" t="n">
        <v>374421</v>
      </c>
      <c r="H11" s="7" t="n">
        <v>374421</v>
      </c>
      <c r="I11" s="7" t="n">
        <v>374421</v>
      </c>
      <c r="J11" s="7" t="n">
        <v>374421</v>
      </c>
      <c r="K11" t="inlineStr"/>
    </row>
    <row r="12">
      <c r="A12" t="inlineStr">
        <is>
          <t>Lease liabilities</t>
        </is>
      </c>
      <c r="B12" s="6" t="n">
        <v>20426</v>
      </c>
      <c r="C12" s="6" t="n">
        <v>21520</v>
      </c>
      <c r="D12" s="6" t="n">
        <v>22045</v>
      </c>
      <c r="E12" s="6" t="n">
        <v>23579</v>
      </c>
      <c r="F12" s="7" t="n">
        <v>23579</v>
      </c>
      <c r="G12" s="7" t="n">
        <v>23579</v>
      </c>
      <c r="H12" s="7" t="n">
        <v>23579</v>
      </c>
      <c r="I12" s="7" t="n">
        <v>23579</v>
      </c>
      <c r="J12" s="7" t="n">
        <v>23579</v>
      </c>
      <c r="K12" t="inlineStr"/>
    </row>
    <row r="13">
      <c r="A13" t="inlineStr">
        <is>
          <t>DoT deferred payment liabilities (non-current + current)</t>
        </is>
      </c>
      <c r="B13" s="6" t="n">
        <v>117272</v>
      </c>
      <c r="C13" s="6" t="n">
        <v>112849</v>
      </c>
      <c r="D13" s="6" t="n">
        <v>109148</v>
      </c>
      <c r="E13" s="6" t="n">
        <v>104514</v>
      </c>
      <c r="F13" s="7" t="n">
        <v>99552</v>
      </c>
      <c r="G13" s="7" t="n">
        <v>94252</v>
      </c>
      <c r="H13" s="7" t="n">
        <v>88602</v>
      </c>
      <c r="I13" s="7" t="n">
        <v>82552</v>
      </c>
      <c r="J13" s="7" t="n">
        <v>76102</v>
      </c>
      <c r="K13" t="inlineStr"/>
    </row>
    <row r="14">
      <c r="A14" t="inlineStr">
        <is>
          <t>Deferred tax liabilities</t>
        </is>
      </c>
      <c r="B14" s="6" t="n">
        <v>60324</v>
      </c>
      <c r="C14" s="6" t="n">
        <v>72241</v>
      </c>
      <c r="D14" s="6" t="n">
        <v>83453</v>
      </c>
      <c r="E14" s="6" t="n">
        <v>97961</v>
      </c>
      <c r="F14" s="7" t="n">
        <v>112796.9224</v>
      </c>
      <c r="G14" s="7" t="n">
        <v>128903.4881</v>
      </c>
      <c r="H14" s="7" t="n">
        <v>146680.3777</v>
      </c>
      <c r="I14" s="7" t="n">
        <v>166289.5535</v>
      </c>
      <c r="J14" s="7" t="n">
        <v>187953.8233</v>
      </c>
      <c r="K14" t="inlineStr"/>
    </row>
    <row r="15">
      <c r="A15" t="inlineStr">
        <is>
          <t>Other non-current liabilities and provisions</t>
        </is>
      </c>
      <c r="B15" s="6" t="n">
        <v>10230</v>
      </c>
      <c r="C15" s="6" t="n">
        <v>12191</v>
      </c>
      <c r="D15" s="6" t="n">
        <v>44854</v>
      </c>
      <c r="E15" s="6" t="n">
        <v>66558</v>
      </c>
      <c r="F15" s="7" t="n">
        <v>66558</v>
      </c>
      <c r="G15" s="7" t="n">
        <v>66558</v>
      </c>
      <c r="H15" s="7" t="n">
        <v>66558</v>
      </c>
      <c r="I15" s="7" t="n">
        <v>66558</v>
      </c>
      <c r="J15" s="7" t="n">
        <v>66558</v>
      </c>
      <c r="K15" t="inlineStr"/>
    </row>
    <row r="16">
      <c r="A16" t="inlineStr">
        <is>
          <t>Trade payables (incl. supplier finance)</t>
        </is>
      </c>
      <c r="B16" s="6" t="n">
        <v>147172</v>
      </c>
      <c r="C16" s="6" t="n">
        <v>178377</v>
      </c>
      <c r="D16" s="6" t="n">
        <v>186789</v>
      </c>
      <c r="E16" s="6" t="n">
        <v>158842</v>
      </c>
      <c r="F16" s="7" t="n">
        <v>171825.9461</v>
      </c>
      <c r="G16" s="7" t="n">
        <v>184198.3049</v>
      </c>
      <c r="H16" s="7" t="n">
        <v>197267.5311</v>
      </c>
      <c r="I16" s="7" t="n">
        <v>211306.0762</v>
      </c>
      <c r="J16" s="7" t="n">
        <v>225653.2776</v>
      </c>
      <c r="K16" t="inlineStr"/>
    </row>
    <row r="17">
      <c r="A17" t="inlineStr">
        <is>
          <t>Other current liabilities (incl. contract liabilities; excl. current DPL)</t>
        </is>
      </c>
      <c r="B17" s="6" t="n">
        <v>109160</v>
      </c>
      <c r="C17" s="6" t="n">
        <v>108398</v>
      </c>
      <c r="D17" s="6" t="n">
        <v>146676</v>
      </c>
      <c r="E17" s="6" t="n">
        <v>266399</v>
      </c>
      <c r="F17" s="7" t="n">
        <v>266399</v>
      </c>
      <c r="G17" s="7" t="n">
        <v>266399</v>
      </c>
      <c r="H17" s="7" t="n">
        <v>266399</v>
      </c>
      <c r="I17" s="7" t="n">
        <v>266399</v>
      </c>
      <c r="J17" s="7" t="n">
        <v>266399</v>
      </c>
      <c r="K17" t="inlineStr"/>
    </row>
    <row r="18">
      <c r="A18" s="8" t="inlineStr">
        <is>
          <t>TOTAL EQUITY AND LIABILITIES</t>
        </is>
      </c>
      <c r="B18" s="9" t="n">
        <v>1607431</v>
      </c>
      <c r="C18" s="9" t="n">
        <v>1755986</v>
      </c>
      <c r="D18" s="9" t="n">
        <v>1950121</v>
      </c>
      <c r="E18" s="9" t="n">
        <v>2178140</v>
      </c>
      <c r="F18" s="10" t="n">
        <v>2291765.0445</v>
      </c>
      <c r="G18" s="10" t="n">
        <v>2413900.9193</v>
      </c>
      <c r="H18" s="10" t="n">
        <v>2548476.752</v>
      </c>
      <c r="I18" s="10" t="n">
        <v>2696721.9841</v>
      </c>
      <c r="J18" s="10" t="n">
        <v>2859593.5859</v>
      </c>
      <c r="K18" s="8" t="inlineStr">
        <is>
          <t>consolidated balance sheet (grouped; totals tie to the AR)</t>
        </is>
      </c>
    </row>
    <row r="19">
      <c r="A19" t="inlineStr">
        <is>
          <t>Check: assets - (equity + liabilities)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t="inlineStr">
        <is>
          <t>must be zero in every column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5" t="inlineStr">
        <is>
          <t>CRISIL convention (formulas)</t>
        </is>
      </c>
      <c r="B1" s="5" t="inlineStr">
        <is>
          <t>FY2023</t>
        </is>
      </c>
      <c r="C1" s="5" t="inlineStr">
        <is>
          <t>FY2024</t>
        </is>
      </c>
      <c r="D1" s="5" t="inlineStr">
        <is>
          <t>FY2025</t>
        </is>
      </c>
      <c r="E1" s="5" t="inlineStr">
        <is>
          <t>FY2026</t>
        </is>
      </c>
      <c r="F1" s="5" t="inlineStr">
        <is>
          <t>FY2027E</t>
        </is>
      </c>
      <c r="G1" s="5" t="inlineStr">
        <is>
          <t>FY2028E</t>
        </is>
      </c>
      <c r="H1" s="5" t="inlineStr">
        <is>
          <t>FY2029E</t>
        </is>
      </c>
      <c r="I1" s="5" t="inlineStr">
        <is>
          <t>FY2030E</t>
        </is>
      </c>
      <c r="J1" s="5" t="inlineStr">
        <is>
          <t>FY2031E</t>
        </is>
      </c>
      <c r="K1" s="5" t="inlineStr">
        <is>
          <t>Source / note</t>
        </is>
      </c>
    </row>
    <row r="2">
      <c r="A2" t="inlineStr">
        <is>
          <t>PBDIT margin (%)</t>
        </is>
      </c>
      <c r="B2" s="13">
        <f>100*'Income Statement'!B3/'Income Statement'!B2</f>
        <v>17.2662516226</v>
      </c>
      <c r="C2" s="13">
        <f>100*'Income Statement'!C3/'Income Statement'!C2</f>
        <v>19.4964963389</v>
      </c>
      <c r="D2" s="13">
        <f>100*'Income Statement'!D3/'Income Statement'!D2</f>
        <v>18.7139335766</v>
      </c>
      <c r="E2" s="13">
        <f>100*'Income Statement'!E3/'Income Statement'!E2</f>
        <v>18.4988030771</v>
      </c>
      <c r="F2" s="14">
        <f>100*'Income Statement'!F3/'Income Statement'!F2</f>
        <v>18.5782803145</v>
      </c>
      <c r="G2" s="14">
        <f>100*'Income Statement'!G3/'Income Statement'!G2</f>
        <v>18.7249284207</v>
      </c>
      <c r="H2" s="14">
        <f>100*'Income Statement'!H3/'Income Statement'!H2</f>
        <v>19.0019263151</v>
      </c>
      <c r="I2" s="14">
        <f>100*'Income Statement'!I3/'Income Statement'!I2</f>
        <v>19.1982932825</v>
      </c>
      <c r="J2" s="14">
        <f>100*'Income Statement'!J3/'Income Statement'!J2</f>
        <v>19.4346018378</v>
      </c>
    </row>
    <row r="3">
      <c r="A3" t="inlineStr">
        <is>
          <t>PAT margin (%)</t>
        </is>
      </c>
      <c r="B3" s="13">
        <f>100*'Income Statement'!B11/'Income Statement'!B2</f>
        <v>8.3122501574</v>
      </c>
      <c r="C3" s="13">
        <f>100*'Income Statement'!C11/'Income Statement'!C2</f>
        <v>8.6410518857</v>
      </c>
      <c r="D3" s="13">
        <f>100*'Income Statement'!D11/'Income Statement'!D2</f>
        <v>8.2956854967</v>
      </c>
      <c r="E3" s="13">
        <f>100*'Income Statement'!E11/'Income Statement'!E2</f>
        <v>8.9017593604</v>
      </c>
      <c r="F3" s="14">
        <f>100*'Income Statement'!F11/'Income Statement'!F2</f>
        <v>8.5369544801</v>
      </c>
      <c r="G3" s="14">
        <f>100*'Income Statement'!G11/'Income Statement'!G2</f>
        <v>8.6455868153</v>
      </c>
      <c r="H3" s="14">
        <f>100*'Income Statement'!H11/'Income Statement'!H2</f>
        <v>8.9099921503</v>
      </c>
      <c r="I3" s="14">
        <f>100*'Income Statement'!I11/'Income Statement'!I2</f>
        <v>9.1753895253</v>
      </c>
      <c r="J3" s="14">
        <f>100*'Income Statement'!J11/'Income Statement'!J2</f>
        <v>9.4924772909</v>
      </c>
    </row>
    <row r="4">
      <c r="A4" t="inlineStr">
        <is>
          <t>Adjusted total debt (borrowings + leases + DoT liabilities)</t>
        </is>
      </c>
      <c r="B4" s="6">
        <f>'Balance Sheet'!B11+'Balance Sheet'!B12+'Balance Sheet'!B13</f>
        <v>451664.0</v>
      </c>
      <c r="C4" s="6">
        <f>'Balance Sheet'!C11+'Balance Sheet'!C12+'Balance Sheet'!C13</f>
        <v>458991.0</v>
      </c>
      <c r="D4" s="6">
        <f>'Balance Sheet'!D11+'Balance Sheet'!D12+'Balance Sheet'!D13</f>
        <v>478723.0</v>
      </c>
      <c r="E4" s="6">
        <f>'Balance Sheet'!E11+'Balance Sheet'!E12+'Balance Sheet'!E13</f>
        <v>502514.0</v>
      </c>
      <c r="F4" s="7">
        <f>'Balance Sheet'!F11+'Balance Sheet'!F12+'Balance Sheet'!F13</f>
        <v>497552.0</v>
      </c>
      <c r="G4" s="7">
        <f>'Balance Sheet'!G11+'Balance Sheet'!G12+'Balance Sheet'!G13</f>
        <v>492252.0</v>
      </c>
      <c r="H4" s="7">
        <f>'Balance Sheet'!H11+'Balance Sheet'!H12+'Balance Sheet'!H13</f>
        <v>486602.0</v>
      </c>
      <c r="I4" s="7">
        <f>'Balance Sheet'!I11+'Balance Sheet'!I12+'Balance Sheet'!I13</f>
        <v>480552.0</v>
      </c>
      <c r="J4" s="7">
        <f>'Balance Sheet'!J11+'Balance Sheet'!J12+'Balance Sheet'!J13</f>
        <v>474102.0</v>
      </c>
    </row>
    <row r="5">
      <c r="A5" t="inlineStr">
        <is>
          <t>Adjusted networth (owners + NCI)</t>
        </is>
      </c>
      <c r="B5" s="6">
        <f>'Balance Sheet'!B9+'Balance Sheet'!B10</f>
        <v>828881.0</v>
      </c>
      <c r="C5" s="6">
        <f>'Balance Sheet'!C9+'Balance Sheet'!C10</f>
        <v>925788.0</v>
      </c>
      <c r="D5" s="6">
        <f>'Balance Sheet'!D9+'Balance Sheet'!D10</f>
        <v>1009626.0</v>
      </c>
      <c r="E5" s="6">
        <f>'Balance Sheet'!E9+'Balance Sheet'!E10</f>
        <v>1085866.0</v>
      </c>
      <c r="F5" s="7">
        <f>'Balance Sheet'!F9+'Balance Sheet'!F10</f>
        <v>1176633.1761</v>
      </c>
      <c r="G5" s="7">
        <f>'Balance Sheet'!G9+'Balance Sheet'!G10</f>
        <v>1275590.1262</v>
      </c>
      <c r="H5" s="7">
        <f>'Balance Sheet'!H9+'Balance Sheet'!H10</f>
        <v>1384969.8432</v>
      </c>
      <c r="I5" s="7">
        <f>'Balance Sheet'!I9+'Balance Sheet'!I10</f>
        <v>1505617.3545</v>
      </c>
      <c r="J5" s="7">
        <f>'Balance Sheet'!J9+'Balance Sheet'!J10</f>
        <v>1638927.4849</v>
      </c>
    </row>
    <row r="6">
      <c r="A6" t="inlineStr">
        <is>
          <t>Gearing - adjusted debt / adjusted networth (x)</t>
        </is>
      </c>
      <c r="B6" s="13">
        <f>B4/B5</f>
        <v>0.5449081352</v>
      </c>
      <c r="C6" s="13">
        <f>C4/C5</f>
        <v>0.495784132</v>
      </c>
      <c r="D6" s="13">
        <f>D4/D5</f>
        <v>0.4741587479</v>
      </c>
      <c r="E6" s="13">
        <f>E4/E5</f>
        <v>0.4627771751</v>
      </c>
      <c r="F6" s="14">
        <f>F4/F5</f>
        <v>0.4228607608</v>
      </c>
      <c r="G6" s="14">
        <f>G4/G5</f>
        <v>0.3859013878</v>
      </c>
      <c r="H6" s="14">
        <f>H4/H5</f>
        <v>0.3513448342</v>
      </c>
      <c r="I6" s="14">
        <f>I4/I5</f>
        <v>0.3191727291</v>
      </c>
      <c r="J6" s="14">
        <f>J4/J5</f>
        <v>0.2892757638</v>
      </c>
    </row>
    <row r="7">
      <c r="A7" t="inlineStr">
        <is>
          <t>TOL / adjusted networth (x)</t>
        </is>
      </c>
      <c r="B7" s="13">
        <f>('Balance Sheet'!B8-B5)/B5</f>
        <v>0.9392783765</v>
      </c>
      <c r="C7" s="13">
        <f>('Balance Sheet'!C8-C5)/C5</f>
        <v>0.8967474195</v>
      </c>
      <c r="D7" s="13">
        <f>('Balance Sheet'!D8-D5)/D5</f>
        <v>0.9315281104</v>
      </c>
      <c r="E7" s="13">
        <f>('Balance Sheet'!E8-E5)/E5</f>
        <v>1.0059012806</v>
      </c>
      <c r="F7" s="14">
        <f>('Balance Sheet'!F8-F5)/F5</f>
        <v>0.947731112</v>
      </c>
      <c r="G7" s="14">
        <f>('Balance Sheet'!G8-G5)/G5</f>
        <v>0.8923797462</v>
      </c>
      <c r="H7" s="14">
        <f>('Balance Sheet'!H8-H5)/H5</f>
        <v>0.8400954826</v>
      </c>
      <c r="I7" s="14">
        <f>('Balance Sheet'!I8-I5)/I5</f>
        <v>0.7911071336</v>
      </c>
      <c r="J7" s="14">
        <f>('Balance Sheet'!J8-J5)/J5</f>
        <v>0.7447956742</v>
      </c>
    </row>
    <row r="8">
      <c r="A8" t="inlineStr">
        <is>
          <t>Adjusted debt / PBDIT (x)</t>
        </is>
      </c>
      <c r="B8" s="13">
        <f>B4/'Income Statement'!B3</f>
        <v>2.9348651037</v>
      </c>
      <c r="C8" s="13">
        <f>C4/'Income Statement'!C3</f>
        <v>2.5744068652</v>
      </c>
      <c r="D8" s="13">
        <f>D4/'Income Statement'!D3</f>
        <v>2.6099540949</v>
      </c>
      <c r="E8" s="13">
        <f>E4/'Income Statement'!E3</f>
        <v>2.5253609532</v>
      </c>
      <c r="F8" s="14">
        <f>F4/'Income Statement'!F3</f>
        <v>2.3015928125</v>
      </c>
      <c r="G8" s="14">
        <f>G4/'Income Statement'!G3</f>
        <v>2.1074921487</v>
      </c>
      <c r="H8" s="14">
        <f>H4/'Income Statement'!H3</f>
        <v>1.9169241213</v>
      </c>
      <c r="I8" s="14">
        <f>I4/'Income Statement'!I3</f>
        <v>1.7492426311</v>
      </c>
      <c r="J8" s="14">
        <f>J4/'Income Statement'!J3</f>
        <v>1.5963891423</v>
      </c>
    </row>
    <row r="9">
      <c r="A9" t="inlineStr">
        <is>
          <t>Interest incl. capitalised</t>
        </is>
      </c>
      <c r="B9" s="6">
        <f>'Income Statement'!B6+'Income Statement'!B7</f>
        <v>28401.0</v>
      </c>
      <c r="C9" s="6">
        <f>'Income Statement'!C6+'Income Statement'!C7</f>
        <v>38340.0</v>
      </c>
      <c r="D9" s="6">
        <f>'Income Statement'!D6+'Income Statement'!D7</f>
        <v>42552.0</v>
      </c>
      <c r="E9" s="6">
        <f>'Income Statement'!E6+'Income Statement'!E7</f>
        <v>43152.0</v>
      </c>
      <c r="F9" s="7">
        <f>'Income Statement'!F6+'Income Statement'!F7</f>
        <v>40122.32</v>
      </c>
      <c r="G9" s="7">
        <f>'Income Statement'!G6+'Income Statement'!G7</f>
        <v>39711.84</v>
      </c>
      <c r="H9" s="7">
        <f>'Income Statement'!H6+'Income Statement'!H7</f>
        <v>39273.84</v>
      </c>
      <c r="I9" s="7">
        <f>'Income Statement'!I6+'Income Statement'!I7</f>
        <v>38805.84</v>
      </c>
      <c r="J9" s="7">
        <f>'Income Statement'!J6+'Income Statement'!J7</f>
        <v>38305.84</v>
      </c>
    </row>
    <row r="10">
      <c r="A10" t="inlineStr">
        <is>
          <t>Interest coverage - PBDIT / interest incl. capitalised (x)</t>
        </is>
      </c>
      <c r="B10" s="13">
        <f>'Income Statement'!B3/B9</f>
        <v>5.4186824408</v>
      </c>
      <c r="C10" s="13">
        <f>'Income Statement'!C3/C9</f>
        <v>4.6502347418</v>
      </c>
      <c r="D10" s="13">
        <f>'Income Statement'!D3/D9</f>
        <v>4.3105376951</v>
      </c>
      <c r="E10" s="13">
        <f>'Income Statement'!E3/E9</f>
        <v>4.6113042269</v>
      </c>
      <c r="F10" s="14">
        <f>'Income Statement'!F3/F9</f>
        <v>5.3879548316</v>
      </c>
      <c r="G10" s="14">
        <f>'Income Statement'!G3/G9</f>
        <v>5.8816816446</v>
      </c>
      <c r="H10" s="14">
        <f>'Income Statement'!H3/H9</f>
        <v>6.4634679675</v>
      </c>
      <c r="I10" s="14">
        <f>'Income Statement'!I3/I9</f>
        <v>7.0793477683</v>
      </c>
      <c r="J10" s="14">
        <f>'Income Statement'!J3/J9</f>
        <v>7.7529687197</v>
      </c>
    </row>
    <row r="11">
      <c r="A11" t="inlineStr">
        <is>
          <t>NCATD - (PAT - dividend + D&amp;A) / adjusted debt (x)</t>
        </is>
      </c>
      <c r="B11" s="13">
        <f>('Income Statement'!B11-'Cash Flow'!B6+'Income Statement'!B5)/B4</f>
        <v>0.242011761</v>
      </c>
      <c r="C11" s="13">
        <f>('Income Statement'!C11-'Cash Flow'!C6+'Income Statement'!C5)/C4</f>
        <v>0.2696414527</v>
      </c>
      <c r="D11" s="13">
        <f>('Income Statement'!D11-'Cash Flow'!D6+'Income Statement'!D5)/D4</f>
        <v>0.2658426689</v>
      </c>
      <c r="E11" s="13">
        <f>('Income Statement'!E11-'Cash Flow'!E6+'Income Statement'!E5)/E4</f>
        <v>0.2896695415</v>
      </c>
      <c r="F11" s="14">
        <f>('Income Statement'!F11-'Cash Flow'!F6+'Income Statement'!F5)/F4</f>
        <v>0.3076273658</v>
      </c>
      <c r="G11" s="14">
        <f>('Income Statement'!G11-'Cash Flow'!G6+'Income Statement'!G5)/G4</f>
        <v>0.3371392321</v>
      </c>
      <c r="H11" s="14">
        <f>('Income Statement'!H11-'Cash Flow'!H6+'Income Statement'!H5)/H4</f>
        <v>0.3710420167</v>
      </c>
      <c r="I11" s="14">
        <f>('Income Statement'!I11-'Cash Flow'!I6+'Income Statement'!I5)/I4</f>
        <v>0.4062975412</v>
      </c>
      <c r="J11" s="14">
        <f>('Income Statement'!J11-'Cash Flow'!J6+'Income Statement'!J5)/J4</f>
        <v>0.444763537</v>
      </c>
    </row>
    <row r="12">
      <c r="A12" t="inlineStr">
        <is>
          <t>RoCE - PBIT / avg (adj. debt + adj. networth + DTL) (%)</t>
        </is>
      </c>
      <c r="B12" s="13" t="n"/>
      <c r="C12" s="13">
        <f>100*('Income Statement'!C3-'Income Statement'!C5)/((C4+C5+'Balance Sheet'!C14+B4+B5+'Balance Sheet'!B14)/2)</f>
        <v>9.1110119093</v>
      </c>
      <c r="D12" s="13">
        <f>100*('Income Statement'!D3-'Income Statement'!D5)/((D4+D5+'Balance Sheet'!D14+C4+C5+'Balance Sheet'!C14)/2)</f>
        <v>8.6030806696</v>
      </c>
      <c r="E12" s="13">
        <f>100*('Income Statement'!E3-'Income Statement'!E5)/((E4+E5+'Balance Sheet'!E14+D4+D5+'Balance Sheet'!D14)/2)</f>
        <v>8.6735910609</v>
      </c>
      <c r="F12" s="14">
        <f>100*('Income Statement'!F3-'Income Statement'!F5)/((F4+F5+'Balance Sheet'!F14+E4+E5+'Balance Sheet'!E14)/2)</f>
        <v>8.8608982543</v>
      </c>
      <c r="G12" s="14">
        <f>100*('Income Statement'!G3-'Income Statement'!G5)/((G4+G5+'Balance Sheet'!G14+F4+F5+'Balance Sheet'!F14)/2)</f>
        <v>9.0436591511</v>
      </c>
      <c r="H12" s="14">
        <f>100*('Income Statement'!H3-'Income Statement'!H5)/((H4+H5+'Balance Sheet'!H14+G4+G5+'Balance Sheet'!G14)/2)</f>
        <v>9.3320683224</v>
      </c>
      <c r="I12" s="14">
        <f>100*('Income Statement'!I3-'Income Statement'!I5)/((I4+I5+'Balance Sheet'!I14+H4+H5+'Balance Sheet'!H14)/2)</f>
        <v>9.5964666847</v>
      </c>
      <c r="J12" s="14">
        <f>100*('Income Statement'!J3-'Income Statement'!J5)/((J4+J5+'Balance Sheet'!J14+I4+I5+'Balance Sheet'!I14)/2)</f>
        <v>9.8544369343</v>
      </c>
    </row>
    <row r="13">
      <c r="A13" t="inlineStr">
        <is>
          <t>Net adjusted debt (adj. debt - cash and current investments)</t>
        </is>
      </c>
      <c r="B13" s="6">
        <f>B4-'Balance Sheet'!B6</f>
        <v>264527.0</v>
      </c>
      <c r="C13" s="6">
        <f>C4-'Balance Sheet'!C6</f>
        <v>255596.0</v>
      </c>
      <c r="D13" s="6">
        <f>D4-'Balance Sheet'!D6</f>
        <v>253512.0</v>
      </c>
      <c r="E13" s="6">
        <f>E4-'Balance Sheet'!E6</f>
        <v>259106.0</v>
      </c>
      <c r="F13" s="7">
        <f>F4-'Balance Sheet'!F6</f>
        <v>261899.1454</v>
      </c>
      <c r="G13" s="7">
        <f>G4-'Balance Sheet'!G6</f>
        <v>243218.9226</v>
      </c>
      <c r="H13" s="7">
        <f>H4-'Balance Sheet'!H6</f>
        <v>196551.4997</v>
      </c>
      <c r="I13" s="7">
        <f>I4-'Balance Sheet'!I6</f>
        <v>126780.4495</v>
      </c>
      <c r="J13" s="7">
        <f>J4-'Balance Sheet'!J6</f>
        <v>32527.5221</v>
      </c>
    </row>
    <row r="14">
      <c r="A14" t="inlineStr">
        <is>
          <t>Net adjusted debt / PBDIT (x)</t>
        </is>
      </c>
      <c r="B14" s="13">
        <f>B13/'Income Statement'!B3</f>
        <v>1.7188685866</v>
      </c>
      <c r="C14" s="13">
        <f>C13/'Income Statement'!C3</f>
        <v>1.4335969488</v>
      </c>
      <c r="D14" s="13">
        <f>D13/'Income Statement'!D3</f>
        <v>1.3821242817</v>
      </c>
      <c r="E14" s="13">
        <f>E13/'Income Statement'!E3</f>
        <v>1.3021252645</v>
      </c>
      <c r="F14" s="14">
        <f>F13/'Income Statement'!F3</f>
        <v>1.2115018946</v>
      </c>
      <c r="G14" s="14">
        <f>G13/'Income Statement'!G3</f>
        <v>1.0412999232</v>
      </c>
      <c r="H14" s="14">
        <f>H13/'Income Statement'!H3</f>
        <v>0.7742966754</v>
      </c>
      <c r="I14" s="14">
        <f>I13/'Income Statement'!I3</f>
        <v>0.461489635</v>
      </c>
      <c r="J14" s="14">
        <f>J13/'Income Statement'!J3</f>
        <v>0.1095261845</v>
      </c>
    </row>
    <row r="16">
      <c r="A16" t="inlineStr">
        <is>
          <t>Supplier finance (note 44) is NOT in adjusted debt here; adding it (76,377 FY2026) takes gearing to 0.53x and adjusted debt/PBDIT to 2.91x (engine 'incl. SF' rows). Net-debt rows use cash + current investments only; the AR's own 'cash and marketable securities' also adds 6,296 of other marketable securities (FY2026).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7" max="7"/>
  </cols>
  <sheetData>
    <row r="1">
      <c r="A1" s="2" t="inlineStr">
        <is>
          <t>Scenario / metric</t>
        </is>
      </c>
      <c r="B1" s="2" t="inlineStr">
        <is>
          <t>FY2027E</t>
        </is>
      </c>
      <c r="C1" s="2" t="inlineStr">
        <is>
          <t>FY2028E</t>
        </is>
      </c>
      <c r="D1" s="2" t="inlineStr">
        <is>
          <t>FY2029E</t>
        </is>
      </c>
      <c r="E1" s="2" t="inlineStr">
        <is>
          <t>FY2030E</t>
        </is>
      </c>
      <c r="F1" s="2" t="inlineStr">
        <is>
          <t>FY2031E</t>
        </is>
      </c>
      <c r="G1" s="2" t="inlineStr">
        <is>
          <t>Note</t>
        </is>
      </c>
    </row>
    <row r="2">
      <c r="A2" s="3" t="inlineStr">
        <is>
          <t>BASE</t>
        </is>
      </c>
      <c r="B2" s="4" t="n"/>
      <c r="C2" s="4" t="n"/>
      <c r="D2" s="4" t="n"/>
      <c r="E2" s="4" t="n"/>
      <c r="F2" s="4" t="n"/>
      <c r="G2" s="4" t="n"/>
    </row>
    <row r="3">
      <c r="A3" t="inlineStr">
        <is>
          <t>Revenue from operations</t>
        </is>
      </c>
      <c r="B3" s="6" t="n">
        <v>1163602.04</v>
      </c>
      <c r="C3" s="6" t="n">
        <v>1247387.41</v>
      </c>
      <c r="D3" s="6" t="n">
        <v>1335891.96</v>
      </c>
      <c r="E3" s="6" t="n">
        <v>1430960.73</v>
      </c>
      <c r="F3" s="6" t="n">
        <v>1528119.7</v>
      </c>
    </row>
    <row r="4">
      <c r="A4" t="inlineStr">
        <is>
          <t>PBDIT</t>
        </is>
      </c>
      <c r="B4" s="6" t="n">
        <v>216177.25</v>
      </c>
      <c r="C4" s="6" t="n">
        <v>233572.4</v>
      </c>
      <c r="D4" s="6" t="n">
        <v>253845.21</v>
      </c>
      <c r="E4" s="6" t="n">
        <v>274720.04</v>
      </c>
      <c r="F4" s="6" t="n">
        <v>296983.98</v>
      </c>
    </row>
    <row r="5">
      <c r="A5" t="inlineStr">
        <is>
          <t>PBDIT margin (%)</t>
        </is>
      </c>
      <c r="B5" s="13" t="n">
        <v>18.58</v>
      </c>
      <c r="C5" s="13" t="n">
        <v>18.72</v>
      </c>
      <c r="D5" s="13" t="n">
        <v>19</v>
      </c>
      <c r="E5" s="13" t="n">
        <v>19.2</v>
      </c>
      <c r="F5" s="13" t="n">
        <v>19.43</v>
      </c>
    </row>
    <row r="6">
      <c r="A6" t="inlineStr">
        <is>
          <t>PAT</t>
        </is>
      </c>
      <c r="B6" s="6" t="n">
        <v>99336.17999999999</v>
      </c>
      <c r="C6" s="6" t="n">
        <v>107843.96</v>
      </c>
      <c r="D6" s="6" t="n">
        <v>119027.87</v>
      </c>
      <c r="E6" s="6" t="n">
        <v>131296.22</v>
      </c>
      <c r="F6" s="6" t="n">
        <v>145056.42</v>
      </c>
    </row>
    <row r="7">
      <c r="A7" t="inlineStr">
        <is>
          <t>Cash and current investments</t>
        </is>
      </c>
      <c r="B7" s="6" t="n">
        <v>235652.85</v>
      </c>
      <c r="C7" s="6" t="n">
        <v>249033.08</v>
      </c>
      <c r="D7" s="6" t="n">
        <v>290050.5</v>
      </c>
      <c r="E7" s="6" t="n">
        <v>353771.55</v>
      </c>
      <c r="F7" s="6" t="n">
        <v>441574.48</v>
      </c>
    </row>
    <row r="8">
      <c r="A8" t="inlineStr">
        <is>
          <t>New borrowing drawn (funding gap)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</row>
    <row r="9">
      <c r="A9" t="inlineStr">
        <is>
          <t>Adjusted total debt</t>
        </is>
      </c>
      <c r="B9" s="6" t="n">
        <v>497552</v>
      </c>
      <c r="C9" s="6" t="n">
        <v>492252</v>
      </c>
      <c r="D9" s="6" t="n">
        <v>486602</v>
      </c>
      <c r="E9" s="6" t="n">
        <v>480552</v>
      </c>
      <c r="F9" s="6" t="n">
        <v>474102</v>
      </c>
    </row>
    <row r="10">
      <c r="A10" t="inlineStr">
        <is>
          <t>Gearing (x)</t>
        </is>
      </c>
      <c r="B10" s="13" t="n">
        <v>0.42</v>
      </c>
      <c r="C10" s="13" t="n">
        <v>0.39</v>
      </c>
      <c r="D10" s="13" t="n">
        <v>0.35</v>
      </c>
      <c r="E10" s="13" t="n">
        <v>0.32</v>
      </c>
      <c r="F10" s="13" t="n">
        <v>0.29</v>
      </c>
    </row>
    <row r="11">
      <c r="A11" t="inlineStr">
        <is>
          <t>Adjusted debt / PBDIT (x)</t>
        </is>
      </c>
      <c r="B11" s="13" t="n">
        <v>2.3</v>
      </c>
      <c r="C11" s="13" t="n">
        <v>2.11</v>
      </c>
      <c r="D11" s="13" t="n">
        <v>1.92</v>
      </c>
      <c r="E11" s="13" t="n">
        <v>1.75</v>
      </c>
      <c r="F11" s="13" t="n">
        <v>1.6</v>
      </c>
    </row>
    <row r="12">
      <c r="A12" t="inlineStr">
        <is>
          <t>Net adjusted debt / PBDIT (x)</t>
        </is>
      </c>
      <c r="B12" s="13" t="n">
        <v>1.21</v>
      </c>
      <c r="C12" s="13" t="n">
        <v>1.04</v>
      </c>
      <c r="D12" s="13" t="n">
        <v>0.77</v>
      </c>
      <c r="E12" s="13" t="n">
        <v>0.46</v>
      </c>
      <c r="F12" s="13" t="n">
        <v>0.11</v>
      </c>
    </row>
    <row r="13">
      <c r="A13" t="inlineStr">
        <is>
          <t>Interest coverage incl. capitalised (x)</t>
        </is>
      </c>
      <c r="B13" s="13" t="n">
        <v>5.39</v>
      </c>
      <c r="C13" s="13" t="n">
        <v>5.88</v>
      </c>
      <c r="D13" s="13" t="n">
        <v>6.46</v>
      </c>
      <c r="E13" s="13" t="n">
        <v>7.08</v>
      </c>
      <c r="F13" s="13" t="n">
        <v>7.75</v>
      </c>
    </row>
    <row r="14">
      <c r="A14" t="inlineStr">
        <is>
          <t>NCATD (x)</t>
        </is>
      </c>
      <c r="B14" s="13" t="n">
        <v>0.31</v>
      </c>
      <c r="C14" s="13" t="n">
        <v>0.34</v>
      </c>
      <c r="D14" s="13" t="n">
        <v>0.37</v>
      </c>
      <c r="E14" s="13" t="n">
        <v>0.41</v>
      </c>
      <c r="F14" s="13" t="n">
        <v>0.44</v>
      </c>
    </row>
    <row r="15">
      <c r="A15" t="inlineStr">
        <is>
          <t>RoCE (%)</t>
        </is>
      </c>
      <c r="B15" s="13" t="n">
        <v>8.859999999999999</v>
      </c>
      <c r="C15" s="13" t="n">
        <v>9.039999999999999</v>
      </c>
      <c r="D15" s="13" t="n">
        <v>9.33</v>
      </c>
      <c r="E15" s="13" t="n">
        <v>9.6</v>
      </c>
      <c r="F15" s="13" t="n">
        <v>9.85</v>
      </c>
    </row>
    <row r="16">
      <c r="A16" s="3" t="inlineStr">
        <is>
          <t>BULL</t>
        </is>
      </c>
      <c r="B16" s="4" t="n"/>
      <c r="C16" s="4" t="n"/>
      <c r="D16" s="4" t="n"/>
      <c r="E16" s="4" t="n"/>
      <c r="F16" s="4" t="n"/>
      <c r="G16" s="4" t="n"/>
    </row>
    <row r="17">
      <c r="A17" t="inlineStr">
        <is>
          <t>Revenue from operations</t>
        </is>
      </c>
      <c r="B17" s="6" t="n">
        <v>1172561.66</v>
      </c>
      <c r="C17" s="6" t="n">
        <v>1267665.01</v>
      </c>
      <c r="D17" s="6" t="n">
        <v>1372199.62</v>
      </c>
      <c r="E17" s="6" t="n">
        <v>1486900.13</v>
      </c>
      <c r="F17" s="6" t="n">
        <v>1614960.85</v>
      </c>
    </row>
    <row r="18">
      <c r="A18" t="inlineStr">
        <is>
          <t>PBDIT</t>
        </is>
      </c>
      <c r="B18" s="6" t="n">
        <v>230727.98</v>
      </c>
      <c r="C18" s="6" t="n">
        <v>253112.59</v>
      </c>
      <c r="D18" s="6" t="n">
        <v>278884.76</v>
      </c>
      <c r="E18" s="6" t="n">
        <v>304812.37</v>
      </c>
      <c r="F18" s="6" t="n">
        <v>334728.8</v>
      </c>
    </row>
    <row r="19">
      <c r="A19" t="inlineStr">
        <is>
          <t>PBDIT margin (%)</t>
        </is>
      </c>
      <c r="B19" s="13" t="n">
        <v>19.68</v>
      </c>
      <c r="C19" s="13" t="n">
        <v>19.97</v>
      </c>
      <c r="D19" s="13" t="n">
        <v>20.32</v>
      </c>
      <c r="E19" s="13" t="n">
        <v>20.5</v>
      </c>
      <c r="F19" s="13" t="n">
        <v>20.73</v>
      </c>
    </row>
    <row r="20">
      <c r="A20" t="inlineStr">
        <is>
          <t>PAT</t>
        </is>
      </c>
      <c r="B20" s="6" t="n">
        <v>110540.24</v>
      </c>
      <c r="C20" s="6" t="n">
        <v>122889.91</v>
      </c>
      <c r="D20" s="6" t="n">
        <v>138308.33</v>
      </c>
      <c r="E20" s="6" t="n">
        <v>154467.32</v>
      </c>
      <c r="F20" s="6" t="n">
        <v>174119.93</v>
      </c>
    </row>
    <row r="21">
      <c r="A21" t="inlineStr">
        <is>
          <t>Cash and current investments</t>
        </is>
      </c>
      <c r="B21" s="6" t="n">
        <v>247975.6</v>
      </c>
      <c r="C21" s="6" t="n">
        <v>276945.89</v>
      </c>
      <c r="D21" s="6" t="n">
        <v>337784.9</v>
      </c>
      <c r="E21" s="6" t="n">
        <v>425197.46</v>
      </c>
      <c r="F21" s="6" t="n">
        <v>542418.59</v>
      </c>
    </row>
    <row r="22">
      <c r="A22" t="inlineStr">
        <is>
          <t>New borrowing drawn (funding gap)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</row>
    <row r="23">
      <c r="A23" t="inlineStr">
        <is>
          <t>Adjusted total debt</t>
        </is>
      </c>
      <c r="B23" s="6" t="n">
        <v>497552</v>
      </c>
      <c r="C23" s="6" t="n">
        <v>492252</v>
      </c>
      <c r="D23" s="6" t="n">
        <v>486602</v>
      </c>
      <c r="E23" s="6" t="n">
        <v>480552</v>
      </c>
      <c r="F23" s="6" t="n">
        <v>474102</v>
      </c>
    </row>
    <row r="24">
      <c r="A24" t="inlineStr">
        <is>
          <t>Gearing (x)</t>
        </is>
      </c>
      <c r="B24" s="13" t="n">
        <v>0.42</v>
      </c>
      <c r="C24" s="13" t="n">
        <v>0.38</v>
      </c>
      <c r="D24" s="13" t="n">
        <v>0.34</v>
      </c>
      <c r="E24" s="13" t="n">
        <v>0.31</v>
      </c>
      <c r="F24" s="13" t="n">
        <v>0.27</v>
      </c>
    </row>
    <row r="25">
      <c r="A25" t="inlineStr">
        <is>
          <t>Adjusted debt / PBDIT (x)</t>
        </is>
      </c>
      <c r="B25" s="13" t="n">
        <v>2.16</v>
      </c>
      <c r="C25" s="13" t="n">
        <v>1.94</v>
      </c>
      <c r="D25" s="13" t="n">
        <v>1.74</v>
      </c>
      <c r="E25" s="13" t="n">
        <v>1.58</v>
      </c>
      <c r="F25" s="13" t="n">
        <v>1.42</v>
      </c>
    </row>
    <row r="26">
      <c r="A26" t="inlineStr">
        <is>
          <t>Net adjusted debt / PBDIT (x)</t>
        </is>
      </c>
      <c r="B26" s="13" t="n">
        <v>1.08</v>
      </c>
      <c r="C26" s="13" t="n">
        <v>0.85</v>
      </c>
      <c r="D26" s="13" t="n">
        <v>0.53</v>
      </c>
      <c r="E26" s="13" t="n">
        <v>0.18</v>
      </c>
      <c r="F26" s="13" t="n">
        <v>-0.2</v>
      </c>
    </row>
    <row r="27">
      <c r="A27" t="inlineStr">
        <is>
          <t>Interest coverage incl. capitalised (x)</t>
        </is>
      </c>
      <c r="B27" s="13" t="n">
        <v>5.75</v>
      </c>
      <c r="C27" s="13" t="n">
        <v>6.37</v>
      </c>
      <c r="D27" s="13" t="n">
        <v>7.1</v>
      </c>
      <c r="E27" s="13" t="n">
        <v>7.85</v>
      </c>
      <c r="F27" s="13" t="n">
        <v>8.74</v>
      </c>
    </row>
    <row r="28">
      <c r="A28" t="inlineStr">
        <is>
          <t>NCATD (x)</t>
        </is>
      </c>
      <c r="B28" s="13" t="n">
        <v>0.33</v>
      </c>
      <c r="C28" s="13" t="n">
        <v>0.37</v>
      </c>
      <c r="D28" s="13" t="n">
        <v>0.41</v>
      </c>
      <c r="E28" s="13" t="n">
        <v>0.45</v>
      </c>
      <c r="F28" s="13" t="n">
        <v>0.5</v>
      </c>
    </row>
    <row r="29">
      <c r="A29" t="inlineStr">
        <is>
          <t>RoCE (%)</t>
        </is>
      </c>
      <c r="B29" s="13" t="n">
        <v>9.66</v>
      </c>
      <c r="C29" s="13" t="n">
        <v>9.99</v>
      </c>
      <c r="D29" s="13" t="n">
        <v>10.4</v>
      </c>
      <c r="E29" s="13" t="n">
        <v>10.72</v>
      </c>
      <c r="F29" s="13" t="n">
        <v>11.1</v>
      </c>
    </row>
    <row r="30">
      <c r="A30" s="3" t="inlineStr">
        <is>
          <t>BEAR / RATING STRESS</t>
        </is>
      </c>
      <c r="B30" s="4" t="n"/>
      <c r="C30" s="4" t="n"/>
      <c r="D30" s="4" t="n"/>
      <c r="E30" s="4" t="n"/>
      <c r="F30" s="4" t="n"/>
      <c r="G30" s="4" t="n"/>
    </row>
    <row r="31">
      <c r="A31" t="inlineStr">
        <is>
          <t>Revenue from operations</t>
        </is>
      </c>
      <c r="B31" s="6" t="n">
        <v>1052556.03</v>
      </c>
      <c r="C31" s="6" t="n">
        <v>1061637.19</v>
      </c>
      <c r="D31" s="6" t="n">
        <v>1120041.19</v>
      </c>
      <c r="E31" s="6" t="n">
        <v>1186435.49</v>
      </c>
      <c r="F31" s="6" t="n">
        <v>1258063.66</v>
      </c>
    </row>
    <row r="32">
      <c r="A32" t="inlineStr">
        <is>
          <t>PBDIT</t>
        </is>
      </c>
      <c r="B32" s="6" t="n">
        <v>175025.47</v>
      </c>
      <c r="C32" s="6" t="n">
        <v>177723.33</v>
      </c>
      <c r="D32" s="6" t="n">
        <v>197913.71</v>
      </c>
      <c r="E32" s="6" t="n">
        <v>212943.13</v>
      </c>
      <c r="F32" s="6" t="n">
        <v>229540.24</v>
      </c>
    </row>
    <row r="33">
      <c r="A33" t="inlineStr">
        <is>
          <t>PBDIT margin (%)</t>
        </is>
      </c>
      <c r="B33" s="13" t="n">
        <v>16.63</v>
      </c>
      <c r="C33" s="13" t="n">
        <v>16.74</v>
      </c>
      <c r="D33" s="13" t="n">
        <v>17.67</v>
      </c>
      <c r="E33" s="13" t="n">
        <v>17.95</v>
      </c>
      <c r="F33" s="13" t="n">
        <v>18.25</v>
      </c>
    </row>
    <row r="34">
      <c r="A34" t="inlineStr">
        <is>
          <t>PAT</t>
        </is>
      </c>
      <c r="B34" s="6" t="n">
        <v>65415.18</v>
      </c>
      <c r="C34" s="6" t="n">
        <v>57913.69</v>
      </c>
      <c r="D34" s="6" t="n">
        <v>65576.32000000001</v>
      </c>
      <c r="E34" s="6" t="n">
        <v>70830.31</v>
      </c>
      <c r="F34" s="6" t="n">
        <v>78886.24000000001</v>
      </c>
    </row>
    <row r="35">
      <c r="A35" t="inlineStr">
        <is>
          <t>Cash and current investments</t>
        </is>
      </c>
      <c r="B35" s="6" t="n">
        <v>199999.99</v>
      </c>
      <c r="C35" s="6" t="n">
        <v>200000</v>
      </c>
      <c r="D35" s="6" t="n">
        <v>200000</v>
      </c>
      <c r="E35" s="6" t="n">
        <v>200000</v>
      </c>
      <c r="F35" s="6" t="n">
        <v>213878.28</v>
      </c>
    </row>
    <row r="36">
      <c r="A36" t="inlineStr">
        <is>
          <t>New borrowing drawn (funding gap)</t>
        </is>
      </c>
      <c r="B36" s="6" t="n">
        <v>120894.22</v>
      </c>
      <c r="C36" s="6" t="n">
        <v>61222.89</v>
      </c>
      <c r="D36" s="6" t="n">
        <v>36895.91</v>
      </c>
      <c r="E36" s="6" t="n">
        <v>10405.41</v>
      </c>
      <c r="F36" s="6" t="n">
        <v>0</v>
      </c>
    </row>
    <row r="37">
      <c r="A37" t="inlineStr">
        <is>
          <t>Adjusted total debt</t>
        </is>
      </c>
      <c r="B37" s="6" t="n">
        <v>618446.22</v>
      </c>
      <c r="C37" s="6" t="n">
        <v>674369.11</v>
      </c>
      <c r="D37" s="6" t="n">
        <v>705615.03</v>
      </c>
      <c r="E37" s="6" t="n">
        <v>709970.4300000001</v>
      </c>
      <c r="F37" s="6" t="n">
        <v>703520.4300000001</v>
      </c>
    </row>
    <row r="38">
      <c r="A38" t="inlineStr">
        <is>
          <t>Gearing (x)</t>
        </is>
      </c>
      <c r="B38" s="13" t="n">
        <v>0.54</v>
      </c>
      <c r="C38" s="13" t="n">
        <v>0.5600000000000001</v>
      </c>
      <c r="D38" s="13" t="n">
        <v>0.5600000000000001</v>
      </c>
      <c r="E38" s="13" t="n">
        <v>0.54</v>
      </c>
      <c r="F38" s="13" t="n">
        <v>0.51</v>
      </c>
    </row>
    <row r="39">
      <c r="A39" t="inlineStr">
        <is>
          <t>Adjusted debt / PBDIT (x)</t>
        </is>
      </c>
      <c r="B39" s="13" t="n">
        <v>3.53</v>
      </c>
      <c r="C39" s="13" t="n">
        <v>3.79</v>
      </c>
      <c r="D39" s="13" t="n">
        <v>3.57</v>
      </c>
      <c r="E39" s="13" t="n">
        <v>3.33</v>
      </c>
      <c r="F39" s="13" t="n">
        <v>3.06</v>
      </c>
    </row>
    <row r="40">
      <c r="A40" t="inlineStr">
        <is>
          <t>Net adjusted debt / PBDIT (x)</t>
        </is>
      </c>
      <c r="B40" s="13" t="n">
        <v>2.39</v>
      </c>
      <c r="C40" s="13" t="n">
        <v>2.67</v>
      </c>
      <c r="D40" s="13" t="n">
        <v>2.55</v>
      </c>
      <c r="E40" s="13" t="n">
        <v>2.39</v>
      </c>
      <c r="F40" s="13" t="n">
        <v>2.13</v>
      </c>
    </row>
    <row r="41">
      <c r="A41" t="inlineStr">
        <is>
          <t>Interest coverage incl. capitalised (x)</t>
        </is>
      </c>
      <c r="B41" s="13" t="n">
        <v>3.89</v>
      </c>
      <c r="C41" s="13" t="n">
        <v>3.43</v>
      </c>
      <c r="D41" s="13" t="n">
        <v>3.58</v>
      </c>
      <c r="E41" s="13" t="n">
        <v>3.75</v>
      </c>
      <c r="F41" s="13" t="n">
        <v>4.05</v>
      </c>
    </row>
    <row r="42">
      <c r="A42" t="inlineStr">
        <is>
          <t>NCATD (x)</t>
        </is>
      </c>
      <c r="B42" s="13" t="n">
        <v>0.19</v>
      </c>
      <c r="C42" s="13" t="n">
        <v>0.18</v>
      </c>
      <c r="D42" s="13" t="n">
        <v>0.19</v>
      </c>
      <c r="E42" s="13" t="n">
        <v>0.2</v>
      </c>
      <c r="F42" s="13" t="n">
        <v>0.22</v>
      </c>
    </row>
    <row r="43">
      <c r="A43" t="inlineStr">
        <is>
          <t>RoCE (%)</t>
        </is>
      </c>
      <c r="B43" s="13" t="n">
        <v>6.34</v>
      </c>
      <c r="C43" s="13" t="n">
        <v>5.69</v>
      </c>
      <c r="D43" s="13" t="n">
        <v>6.11</v>
      </c>
      <c r="E43" s="13" t="n">
        <v>6.35</v>
      </c>
      <c r="F43" s="13" t="n">
        <v>6.72</v>
      </c>
    </row>
    <row r="44">
      <c r="A44" s="3" t="inlineStr">
        <is>
          <t>TAIL</t>
        </is>
      </c>
      <c r="B44" s="4" t="n"/>
      <c r="C44" s="4" t="n"/>
      <c r="D44" s="4" t="n"/>
      <c r="E44" s="4" t="n"/>
      <c r="F44" s="4" t="n"/>
      <c r="G44" s="4" t="n"/>
    </row>
    <row r="45">
      <c r="A45" t="inlineStr">
        <is>
          <t>Revenue from operations</t>
        </is>
      </c>
      <c r="B45" s="6" t="n">
        <v>980619.64</v>
      </c>
      <c r="C45" s="6" t="n">
        <v>973396.9399999999</v>
      </c>
      <c r="D45" s="6" t="n">
        <v>1022351.04</v>
      </c>
      <c r="E45" s="6" t="n">
        <v>1083125.53</v>
      </c>
      <c r="F45" s="6" t="n">
        <v>1148526.76</v>
      </c>
    </row>
    <row r="46">
      <c r="A46" t="inlineStr">
        <is>
          <t>PBDIT</t>
        </is>
      </c>
      <c r="B46" s="6" t="n">
        <v>151119.92</v>
      </c>
      <c r="C46" s="6" t="n">
        <v>150338.53</v>
      </c>
      <c r="D46" s="6" t="n">
        <v>166778.78</v>
      </c>
      <c r="E46" s="6" t="n">
        <v>186457.23</v>
      </c>
      <c r="F46" s="6" t="n">
        <v>202505.31</v>
      </c>
    </row>
    <row r="47">
      <c r="A47" t="inlineStr">
        <is>
          <t>PBDIT margin (%)</t>
        </is>
      </c>
      <c r="B47" s="13" t="n">
        <v>15.41</v>
      </c>
      <c r="C47" s="13" t="n">
        <v>15.44</v>
      </c>
      <c r="D47" s="13" t="n">
        <v>16.31</v>
      </c>
      <c r="E47" s="13" t="n">
        <v>17.21</v>
      </c>
      <c r="F47" s="13" t="n">
        <v>17.63</v>
      </c>
    </row>
    <row r="48">
      <c r="A48" t="inlineStr">
        <is>
          <t>PAT</t>
        </is>
      </c>
      <c r="B48" s="6" t="n">
        <v>45679.57</v>
      </c>
      <c r="C48" s="6" t="n">
        <v>32469.25</v>
      </c>
      <c r="D48" s="6" t="n">
        <v>34187.9</v>
      </c>
      <c r="E48" s="6" t="n">
        <v>40500.22</v>
      </c>
      <c r="F48" s="6" t="n">
        <v>45994.11</v>
      </c>
    </row>
    <row r="49">
      <c r="A49" t="inlineStr">
        <is>
          <t>Cash and current investments</t>
        </is>
      </c>
      <c r="B49" s="6" t="n">
        <v>200000</v>
      </c>
      <c r="C49" s="6" t="n">
        <v>199999.99</v>
      </c>
      <c r="D49" s="6" t="n">
        <v>199999.99</v>
      </c>
      <c r="E49" s="6" t="n">
        <v>200000</v>
      </c>
      <c r="F49" s="6" t="n">
        <v>200000</v>
      </c>
    </row>
    <row r="50">
      <c r="A50" t="inlineStr">
        <is>
          <t>New borrowing drawn (funding gap)</t>
        </is>
      </c>
      <c r="B50" s="6" t="n">
        <v>192774.21</v>
      </c>
      <c r="C50" s="6" t="n">
        <v>128733.43</v>
      </c>
      <c r="D50" s="6" t="n">
        <v>78028.13</v>
      </c>
      <c r="E50" s="6" t="n">
        <v>45032.35</v>
      </c>
      <c r="F50" s="6" t="n">
        <v>23288.78</v>
      </c>
    </row>
    <row r="51">
      <c r="A51" t="inlineStr">
        <is>
          <t>Adjusted total debt</t>
        </is>
      </c>
      <c r="B51" s="6" t="n">
        <v>690326.21</v>
      </c>
      <c r="C51" s="6" t="n">
        <v>813759.64</v>
      </c>
      <c r="D51" s="6" t="n">
        <v>886137.78</v>
      </c>
      <c r="E51" s="6" t="n">
        <v>925120.13</v>
      </c>
      <c r="F51" s="6" t="n">
        <v>941958.91</v>
      </c>
    </row>
    <row r="52">
      <c r="A52" t="inlineStr">
        <is>
          <t>Gearing (x)</t>
        </is>
      </c>
      <c r="B52" s="13" t="n">
        <v>0.61</v>
      </c>
      <c r="C52" s="13" t="n">
        <v>0.71</v>
      </c>
      <c r="D52" s="13" t="n">
        <v>0.75</v>
      </c>
      <c r="E52" s="13" t="n">
        <v>0.76</v>
      </c>
      <c r="F52" s="13" t="n">
        <v>0.75</v>
      </c>
    </row>
    <row r="53">
      <c r="A53" t="inlineStr">
        <is>
          <t>Adjusted debt / PBDIT (x)</t>
        </is>
      </c>
      <c r="B53" s="13" t="n">
        <v>4.57</v>
      </c>
      <c r="C53" s="13" t="n">
        <v>5.41</v>
      </c>
      <c r="D53" s="13" t="n">
        <v>5.31</v>
      </c>
      <c r="E53" s="13" t="n">
        <v>4.96</v>
      </c>
      <c r="F53" s="13" t="n">
        <v>4.65</v>
      </c>
    </row>
    <row r="54">
      <c r="A54" t="inlineStr">
        <is>
          <t>Net adjusted debt / PBDIT (x)</t>
        </is>
      </c>
      <c r="B54" s="13" t="n">
        <v>3.24</v>
      </c>
      <c r="C54" s="13" t="n">
        <v>4.08</v>
      </c>
      <c r="D54" s="13" t="n">
        <v>4.11</v>
      </c>
      <c r="E54" s="13" t="n">
        <v>3.89</v>
      </c>
      <c r="F54" s="13" t="n">
        <v>3.66</v>
      </c>
    </row>
    <row r="55">
      <c r="A55" t="inlineStr">
        <is>
          <t>Interest coverage incl. capitalised (x)</t>
        </is>
      </c>
      <c r="B55" s="13" t="n">
        <v>3.16</v>
      </c>
      <c r="C55" s="13" t="n">
        <v>2.49</v>
      </c>
      <c r="D55" s="13" t="n">
        <v>2.45</v>
      </c>
      <c r="E55" s="13" t="n">
        <v>2.57</v>
      </c>
      <c r="F55" s="13" t="n">
        <v>2.71</v>
      </c>
    </row>
    <row r="56">
      <c r="A56" t="inlineStr">
        <is>
          <t>NCATD (x)</t>
        </is>
      </c>
      <c r="B56" s="13" t="n">
        <v>0.14</v>
      </c>
      <c r="C56" s="13" t="n">
        <v>0.12</v>
      </c>
      <c r="D56" s="13" t="n">
        <v>0.12</v>
      </c>
      <c r="E56" s="13" t="n">
        <v>0.13</v>
      </c>
      <c r="F56" s="13" t="n">
        <v>0.13</v>
      </c>
    </row>
    <row r="57">
      <c r="A57" t="inlineStr">
        <is>
          <t>RoCE (%)</t>
        </is>
      </c>
      <c r="B57" s="13" t="n">
        <v>4.93</v>
      </c>
      <c r="C57" s="13" t="n">
        <v>4.11</v>
      </c>
      <c r="D57" s="13" t="n">
        <v>4.35</v>
      </c>
      <c r="E57" s="13" t="n">
        <v>4.83</v>
      </c>
      <c r="F57" s="13" t="n">
        <v>5.22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5" t="inlineStr">
        <is>
          <t>Rs crore</t>
        </is>
      </c>
      <c r="B1" s="5" t="inlineStr">
        <is>
          <t>FY2023</t>
        </is>
      </c>
      <c r="C1" s="5" t="inlineStr">
        <is>
          <t>FY2024</t>
        </is>
      </c>
      <c r="D1" s="5" t="inlineStr">
        <is>
          <t>FY2025</t>
        </is>
      </c>
      <c r="E1" s="5" t="inlineStr">
        <is>
          <t>FY2026</t>
        </is>
      </c>
      <c r="F1" s="5" t="inlineStr">
        <is>
          <t>FY2027E</t>
        </is>
      </c>
      <c r="G1" s="5" t="inlineStr">
        <is>
          <t>FY2028E</t>
        </is>
      </c>
      <c r="H1" s="5" t="inlineStr">
        <is>
          <t>FY2029E</t>
        </is>
      </c>
      <c r="I1" s="5" t="inlineStr">
        <is>
          <t>FY2030E</t>
        </is>
      </c>
      <c r="J1" s="5" t="inlineStr">
        <is>
          <t>FY2031E</t>
        </is>
      </c>
      <c r="K1" s="5" t="inlineStr">
        <is>
          <t>Source / note</t>
        </is>
      </c>
    </row>
    <row r="2">
      <c r="A2" t="inlineStr">
        <is>
          <t>PBDIT</t>
        </is>
      </c>
      <c r="B2" s="6" t="n">
        <v>153896</v>
      </c>
      <c r="C2" s="6" t="n">
        <v>178290</v>
      </c>
      <c r="D2" s="6" t="n">
        <v>183422</v>
      </c>
      <c r="E2" s="6" t="n">
        <v>198987</v>
      </c>
      <c r="F2" s="7" t="n">
        <v>216177.2479</v>
      </c>
      <c r="G2" s="7" t="n">
        <v>233572.4004</v>
      </c>
      <c r="H2" s="7" t="n">
        <v>253845.2068</v>
      </c>
      <c r="I2" s="7" t="n">
        <v>274720.0368</v>
      </c>
      <c r="J2" s="7" t="n">
        <v>296983.9793</v>
      </c>
      <c r="K2" t="inlineStr">
        <is>
          <t>Income Statement</t>
        </is>
      </c>
    </row>
    <row r="3">
      <c r="A3" t="inlineStr">
        <is>
          <t>Less: treasury income (valued separately as cash)</t>
        </is>
      </c>
      <c r="B3" s="6" t="n"/>
      <c r="C3" s="6" t="n"/>
      <c r="D3" s="6" t="n"/>
      <c r="E3" s="6" t="n"/>
      <c r="F3" s="7" t="n">
        <v>10466.544</v>
      </c>
      <c r="G3" s="7" t="n">
        <v>10133.0727</v>
      </c>
      <c r="H3" s="7" t="n">
        <v>10708.4223</v>
      </c>
      <c r="I3" s="7" t="n">
        <v>12472.1715</v>
      </c>
      <c r="J3" s="7" t="n">
        <v>15212.1767</v>
      </c>
      <c r="K3" t="inlineStr"/>
    </row>
    <row r="4">
      <c r="A4" t="inlineStr">
        <is>
          <t>Less: capex</t>
        </is>
      </c>
      <c r="B4" s="6" t="n">
        <v>140988</v>
      </c>
      <c r="C4" s="6" t="n">
        <v>152883</v>
      </c>
      <c r="D4" s="6" t="n">
        <v>139967</v>
      </c>
      <c r="E4" s="6" t="n">
        <v>122916</v>
      </c>
      <c r="F4" s="7" t="n">
        <v>150000</v>
      </c>
      <c r="G4" s="7" t="n">
        <v>145000</v>
      </c>
      <c r="H4" s="7" t="n">
        <v>135000</v>
      </c>
      <c r="I4" s="7" t="n">
        <v>130000</v>
      </c>
      <c r="J4" s="7" t="n">
        <v>125000</v>
      </c>
      <c r="K4" t="inlineStr"/>
    </row>
    <row r="5">
      <c r="A5" s="8" t="inlineStr">
        <is>
          <t>UNLEVERED FREE CASH FLOW (after cash tax on EBIT, capex and working capital)</t>
        </is>
      </c>
      <c r="B5" s="9" t="n"/>
      <c r="C5" s="9" t="n"/>
      <c r="D5" s="9" t="n"/>
      <c r="E5" s="9" t="n"/>
      <c r="F5" s="10" t="n">
        <v>33774.5671</v>
      </c>
      <c r="G5" s="10" t="n">
        <v>55262.1035</v>
      </c>
      <c r="H5" s="10" t="n">
        <v>82881.7102</v>
      </c>
      <c r="I5" s="10" t="n">
        <v>104783.0515</v>
      </c>
      <c r="J5" s="10" t="n">
        <v>127272.0008</v>
      </c>
      <c r="K5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9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8" t="inlineStr">
        <is>
          <t>Valuation (Rs crore) - informs financial flexibility only (Step 12(f)); it does not move the grade.</t>
        </is>
      </c>
    </row>
    <row r="2">
      <c r="A2" t="inlineStr">
        <is>
          <t>ANALYST ASSUMPTIONS: WACC 11.0% (cost of equity ~12%, post-tax cost of debt ~6%, ~20% debt weight); terminal growth 5.0% nominal. Minority interests deducted at book (no market value disclosed).</t>
        </is>
      </c>
    </row>
    <row r="3">
      <c r="A3" t="inlineStr">
        <is>
          <t>Enterprise value (WACC 11.0%, g 5.0%)</t>
        </is>
      </c>
      <c r="B3" t="n">
        <v>1602205.89</v>
      </c>
      <c r="C3" t="inlineStr"/>
    </row>
    <row r="4">
      <c r="A4" t="inlineStr">
        <is>
          <t>Less: net adjusted debt 31-Mar-2026 (incl. DoT, leases; cash and marketable securities netted)</t>
        </is>
      </c>
      <c r="B4" t="n">
        <v>252810</v>
      </c>
      <c r="C4" t="inlineStr">
        <is>
          <t>engine</t>
        </is>
      </c>
    </row>
    <row r="5">
      <c r="A5" t="inlineStr">
        <is>
          <t>Less: non-controlling interest at book 31-Mar-2026</t>
        </is>
      </c>
      <c r="B5" t="n">
        <v>181836</v>
      </c>
      <c r="C5" t="inlineStr">
        <is>
          <t>balance sheet</t>
        </is>
      </c>
    </row>
    <row r="6">
      <c r="A6" t="inlineStr">
        <is>
          <t>Implied equity value</t>
        </is>
      </c>
      <c r="B6" t="n">
        <v>1167559.89</v>
      </c>
      <c r="C6" t="inlineStr"/>
    </row>
    <row r="7">
      <c r="A7" t="inlineStr">
        <is>
          <t>Implied value per share (Rs)</t>
        </is>
      </c>
      <c r="B7" t="n">
        <v>862.78</v>
      </c>
      <c r="C7" t="inlineStr">
        <is>
          <t>1,353.25 crore shares</t>
        </is>
      </c>
    </row>
    <row r="8">
      <c r="A8" t="inlineStr">
        <is>
          <t>Market price (Rs, screener.in 10-Oct-2026; not exchange-verified)</t>
        </is>
      </c>
      <c r="B8" t="n">
        <v>1170</v>
      </c>
      <c r="C8" t="inlineStr">
        <is>
          <t>52-week range Rs 1,160-1,612</t>
        </is>
      </c>
    </row>
    <row r="9">
      <c r="A9" t="inlineStr">
        <is>
          <t>Market capitalisation (Rs crore, screener.in)</t>
        </is>
      </c>
      <c r="B9" t="n">
        <v>1583713</v>
      </c>
      <c r="C9" t="inlineStr"/>
    </row>
    <row r="10">
      <c r="A10" t="inlineStr">
        <is>
          <t>Market capitalisation / adjusted total debt 31-Mar-2026 (x)</t>
        </is>
      </c>
      <c r="B10" t="n">
        <v>3.15</v>
      </c>
      <c r="C10" t="inlineStr">
        <is>
          <t>the financial-flexibility reading: equity cushion over debt</t>
        </is>
      </c>
    </row>
    <row r="11">
      <c r="A11" t="inlineStr">
        <is>
          <t>Market capitalisation / adjusted debt incl. supplier finance (x)</t>
        </is>
      </c>
      <c r="B11" t="n">
        <v>2.74</v>
      </c>
      <c r="C11" t="inlineStr"/>
    </row>
    <row r="13">
      <c r="A13" t="inlineStr">
        <is>
          <t>Sensitivity: equity value (Rs crore)</t>
        </is>
      </c>
      <c r="B13" t="inlineStr">
        <is>
          <t>g 4.0%</t>
        </is>
      </c>
      <c r="C13" t="inlineStr">
        <is>
          <t>g 4.5%</t>
        </is>
      </c>
      <c r="D13" t="inlineStr">
        <is>
          <t>g 5.0%</t>
        </is>
      </c>
      <c r="E13" t="inlineStr">
        <is>
          <t>g 5.5%</t>
        </is>
      </c>
      <c r="F13" t="inlineStr">
        <is>
          <t>g 6.0%</t>
        </is>
      </c>
    </row>
    <row r="14">
      <c r="A14" t="inlineStr">
        <is>
          <t>WACC 10.0%</t>
        </is>
      </c>
      <c r="B14" t="n">
        <v>1224376</v>
      </c>
      <c r="C14" t="n">
        <v>1356086</v>
      </c>
      <c r="D14" t="n">
        <v>1514138</v>
      </c>
      <c r="E14" t="n">
        <v>1707312</v>
      </c>
      <c r="F14" t="n">
        <v>1948780</v>
      </c>
    </row>
    <row r="15">
      <c r="A15" t="inlineStr">
        <is>
          <t>WACC 10.5%</t>
        </is>
      </c>
      <c r="B15" t="n">
        <v>1086208</v>
      </c>
      <c r="C15" t="n">
        <v>1195651</v>
      </c>
      <c r="D15" t="n">
        <v>1324993</v>
      </c>
      <c r="E15" t="n">
        <v>1480204</v>
      </c>
      <c r="F15" t="n">
        <v>1669906</v>
      </c>
    </row>
    <row r="16">
      <c r="A16" t="inlineStr">
        <is>
          <t>WACC 11.0%</t>
        </is>
      </c>
      <c r="B16" t="n">
        <v>967946</v>
      </c>
      <c r="C16" t="n">
        <v>1060075</v>
      </c>
      <c r="D16" t="n">
        <v>1167560</v>
      </c>
      <c r="E16" t="n">
        <v>1294587</v>
      </c>
      <c r="F16" t="n">
        <v>1447020</v>
      </c>
    </row>
    <row r="17">
      <c r="A17" t="inlineStr">
        <is>
          <t>WACC 11.5%</t>
        </is>
      </c>
      <c r="B17" t="n">
        <v>865604</v>
      </c>
      <c r="C17" t="n">
        <v>944027</v>
      </c>
      <c r="D17" t="n">
        <v>1034515</v>
      </c>
      <c r="E17" t="n">
        <v>1140085</v>
      </c>
      <c r="F17" t="n">
        <v>1264849</v>
      </c>
    </row>
    <row r="18">
      <c r="A18" t="inlineStr">
        <is>
          <t>WACC 12.0%</t>
        </is>
      </c>
      <c r="B18" t="n">
        <v>776195</v>
      </c>
      <c r="C18" t="n">
        <v>843598</v>
      </c>
      <c r="D18" t="n">
        <v>920630</v>
      </c>
      <c r="E18" t="n">
        <v>1009514</v>
      </c>
      <c r="F18" t="n">
        <v>1113211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90" customWidth="1" min="6" max="6"/>
  </cols>
  <sheetData>
    <row r="1">
      <c r="A1" s="2" t="inlineStr">
        <is>
          <t>(i) STATUTORY BORROWINGS - consolidated (Rs crore)</t>
        </is>
      </c>
      <c r="B1" s="2" t="inlineStr">
        <is>
          <t>FY2023</t>
        </is>
      </c>
      <c r="C1" s="2" t="inlineStr">
        <is>
          <t>FY2024</t>
        </is>
      </c>
      <c r="D1" s="2" t="inlineStr">
        <is>
          <t>FY2025</t>
        </is>
      </c>
      <c r="E1" s="2" t="inlineStr">
        <is>
          <t>FY2026</t>
        </is>
      </c>
      <c r="F1" s="2" t="inlineStr">
        <is>
          <t>Source</t>
        </is>
      </c>
    </row>
    <row r="2">
      <c r="A2" t="inlineStr">
        <is>
          <t>Non-current borrowings</t>
        </is>
      </c>
      <c r="B2" t="n">
        <v>183176</v>
      </c>
      <c r="C2" t="n">
        <v>222712</v>
      </c>
      <c r="D2" t="n">
        <v>236899</v>
      </c>
      <c r="E2" t="n">
        <v>270751</v>
      </c>
      <c r="F2" t="inlineStr">
        <is>
          <t>balance sheet (note 16)</t>
        </is>
      </c>
    </row>
    <row r="3">
      <c r="A3" t="inlineStr">
        <is>
          <t>Current borrowings (incl. current maturities)</t>
        </is>
      </c>
      <c r="B3" t="n">
        <v>130790</v>
      </c>
      <c r="C3" t="n">
        <v>101910</v>
      </c>
      <c r="D3" t="n">
        <v>110631</v>
      </c>
      <c r="E3" t="n">
        <v>103670</v>
      </c>
      <c r="F3" t="inlineStr">
        <is>
          <t>balance sheet (note 20)</t>
        </is>
      </c>
    </row>
    <row r="4">
      <c r="A4" t="inlineStr">
        <is>
          <t xml:space="preserve">  of which current maturities of non-current borrowings</t>
        </is>
      </c>
      <c r="B4" t="n">
        <v>48532</v>
      </c>
      <c r="C4" t="n">
        <v>45268</v>
      </c>
      <c r="D4" t="n">
        <v>29323</v>
      </c>
      <c r="E4" t="n">
        <v>25965</v>
      </c>
      <c r="F4" t="inlineStr">
        <is>
          <t>note 20</t>
        </is>
      </c>
    </row>
    <row r="5">
      <c r="A5" t="inlineStr">
        <is>
          <t xml:space="preserve">  of which commercial paper</t>
        </is>
      </c>
      <c r="B5" t="n">
        <v>20506</v>
      </c>
      <c r="C5" t="n">
        <v>19595</v>
      </c>
      <c r="D5" t="n">
        <v>29162</v>
      </c>
      <c r="E5" t="n">
        <v>13186</v>
      </c>
      <c r="F5" t="inlineStr">
        <is>
          <t>note 20</t>
        </is>
      </c>
    </row>
    <row r="6">
      <c r="A6" t="inlineStr">
        <is>
          <t>GROSS DEBT (company definition)</t>
        </is>
      </c>
      <c r="B6" t="n">
        <v>313966</v>
      </c>
      <c r="C6" t="n">
        <v>324622</v>
      </c>
      <c r="D6" t="n">
        <v>347530</v>
      </c>
      <c r="E6" t="n">
        <v>374421</v>
      </c>
      <c r="F6" t="inlineStr">
        <is>
          <t>equals note 35 gross debt; screener.in tie in spreads</t>
        </is>
      </c>
    </row>
    <row r="7">
      <c r="A7" t="inlineStr">
        <is>
          <t>Lease liabilities (non-current + current)</t>
        </is>
      </c>
      <c r="B7" t="n">
        <v>20426</v>
      </c>
      <c r="C7" t="n">
        <v>21520</v>
      </c>
      <c r="D7" t="n">
        <v>22045</v>
      </c>
      <c r="E7" t="n">
        <v>23579</v>
      </c>
      <c r="F7" t="inlineStr">
        <is>
          <t>balance sheet</t>
        </is>
      </c>
    </row>
    <row r="8">
      <c r="A8" t="inlineStr">
        <is>
          <t>DoT deferred payment liabilities (note 17 + current maturity in note 22)</t>
        </is>
      </c>
      <c r="B8" t="n">
        <v>117272</v>
      </c>
      <c r="C8" t="n">
        <v>112849</v>
      </c>
      <c r="D8" t="n">
        <v>109148</v>
      </c>
      <c r="E8" t="n">
        <v>104514</v>
      </c>
      <c r="F8" t="inlineStr">
        <is>
          <t>notes 17, 22</t>
        </is>
      </c>
    </row>
    <row r="9">
      <c r="A9" t="inlineStr">
        <is>
          <t>ADJUSTED TOTAL DEBT (CRISIL)</t>
        </is>
      </c>
      <c r="B9" t="n">
        <v>451664</v>
      </c>
      <c r="C9" t="n">
        <v>458991</v>
      </c>
      <c r="D9" t="n">
        <v>478723</v>
      </c>
      <c r="E9" t="n">
        <v>502514</v>
      </c>
      <c r="F9" t="inlineStr">
        <is>
          <t>engine</t>
        </is>
      </c>
    </row>
    <row r="10">
      <c r="A10" t="inlineStr">
        <is>
          <t>Supplier-finance arrangements (in trade payables / other financial liabilities)</t>
        </is>
      </c>
      <c r="D10" t="n">
        <v>103716</v>
      </c>
      <c r="E10" t="n">
        <v>76377</v>
      </c>
      <c r="F10" t="inlineStr">
        <is>
          <t>note 44; first disclosed for FY2025</t>
        </is>
      </c>
    </row>
    <row r="11">
      <c r="A11" t="inlineStr">
        <is>
          <t>ADJUSTED DEBT incl. supplier finance</t>
        </is>
      </c>
      <c r="D11" t="n">
        <v>582439</v>
      </c>
      <c r="E11" t="n">
        <v>578891</v>
      </c>
      <c r="F11" t="inlineStr">
        <is>
          <t>wide measure</t>
        </is>
      </c>
    </row>
    <row r="12"/>
    <row r="13">
      <c r="A13" s="2" t="inlineStr">
        <is>
          <t>(ii) INSTRUMENT VIEW (note 16 / 20, FY2025-26 AR)</t>
        </is>
      </c>
      <c r="B13" s="2" t="inlineStr"/>
      <c r="C13" s="2" t="inlineStr"/>
      <c r="D13" s="2" t="inlineStr">
        <is>
          <t>FY2025</t>
        </is>
      </c>
      <c r="E13" s="2" t="inlineStr">
        <is>
          <t>FY2026</t>
        </is>
      </c>
      <c r="F13" s="2" t="inlineStr"/>
    </row>
    <row r="14">
      <c r="A14" t="inlineStr">
        <is>
          <t>NC: Secured NCDs</t>
        </is>
      </c>
      <c r="B14" t="inlineStr"/>
      <c r="C14" t="inlineStr"/>
      <c r="D14" t="n">
        <v>20415</v>
      </c>
      <c r="E14" t="n">
        <v>20545</v>
      </c>
      <c r="F14" t="inlineStr">
        <is>
          <t>note 16</t>
        </is>
      </c>
    </row>
    <row r="15">
      <c r="A15" t="inlineStr">
        <is>
          <t>NC: Secured term loans from banks</t>
        </is>
      </c>
      <c r="B15" t="inlineStr"/>
      <c r="C15" t="inlineStr"/>
      <c r="D15" t="n">
        <v>1089</v>
      </c>
      <c r="E15" t="n">
        <v>640</v>
      </c>
      <c r="F15" t="inlineStr">
        <is>
          <t>note 16</t>
        </is>
      </c>
    </row>
    <row r="16">
      <c r="A16" t="inlineStr">
        <is>
          <t>NC: Unsecured NCDs</t>
        </is>
      </c>
      <c r="B16" t="inlineStr"/>
      <c r="C16" t="inlineStr"/>
      <c r="D16" t="n">
        <v>7367</v>
      </c>
      <c r="E16" t="n">
        <v>7369</v>
      </c>
      <c r="F16" t="inlineStr">
        <is>
          <t>note 16</t>
        </is>
      </c>
    </row>
    <row r="17">
      <c r="A17" t="inlineStr">
        <is>
          <t>NC: Bonds (foreign currency)</t>
        </is>
      </c>
      <c r="B17" t="inlineStr"/>
      <c r="C17" t="inlineStr"/>
      <c r="D17" t="n">
        <v>52048</v>
      </c>
      <c r="E17" t="n">
        <v>57274</v>
      </c>
      <c r="F17" t="inlineStr">
        <is>
          <t>note 16</t>
        </is>
      </c>
    </row>
    <row r="18">
      <c r="A18" t="inlineStr">
        <is>
          <t>NC: Unsecured term loans from banks</t>
        </is>
      </c>
      <c r="B18" t="inlineStr"/>
      <c r="C18" t="inlineStr"/>
      <c r="D18" t="n">
        <v>154683</v>
      </c>
      <c r="E18" t="n">
        <v>183436</v>
      </c>
      <c r="F18" t="inlineStr">
        <is>
          <t>note 16</t>
        </is>
      </c>
    </row>
    <row r="19">
      <c r="A19" t="inlineStr">
        <is>
          <t>NC: Unsecured term loans from others</t>
        </is>
      </c>
      <c r="B19" t="inlineStr"/>
      <c r="C19" t="inlineStr"/>
      <c r="D19" t="n">
        <v>1297</v>
      </c>
      <c r="E19" t="n">
        <v>1487</v>
      </c>
      <c r="F19" t="inlineStr">
        <is>
          <t>note 16</t>
        </is>
      </c>
    </row>
    <row r="20">
      <c r="A20" t="inlineStr">
        <is>
          <t>Current: Secured WC loans from banks</t>
        </is>
      </c>
      <c r="B20" t="inlineStr"/>
      <c r="C20" t="inlineStr"/>
      <c r="D20" t="n">
        <v>15594</v>
      </c>
      <c r="E20" t="n">
        <v>17146</v>
      </c>
      <c r="F20" t="inlineStr">
        <is>
          <t>note 20</t>
        </is>
      </c>
    </row>
    <row r="21">
      <c r="A21" t="inlineStr">
        <is>
          <t>Current: Secured WC loans from others</t>
        </is>
      </c>
      <c r="B21" t="inlineStr"/>
      <c r="C21" t="inlineStr"/>
      <c r="D21" t="n">
        <v>0</v>
      </c>
      <c r="E21" t="n">
        <v>7</v>
      </c>
      <c r="F21" t="inlineStr">
        <is>
          <t>note 20</t>
        </is>
      </c>
    </row>
    <row r="22">
      <c r="A22" t="inlineStr">
        <is>
          <t>Current: Unsecured WC loans from others</t>
        </is>
      </c>
      <c r="B22" t="inlineStr"/>
      <c r="C22" t="inlineStr"/>
      <c r="D22" t="n">
        <v>0</v>
      </c>
      <c r="E22" t="n">
        <v>32</v>
      </c>
      <c r="F22" t="inlineStr">
        <is>
          <t>note 20</t>
        </is>
      </c>
    </row>
    <row r="23">
      <c r="A23" t="inlineStr">
        <is>
          <t>Current: Unsecured loans from banks</t>
        </is>
      </c>
      <c r="B23" t="inlineStr"/>
      <c r="C23" t="inlineStr"/>
      <c r="D23" t="n">
        <v>33124</v>
      </c>
      <c r="E23" t="n">
        <v>47334</v>
      </c>
      <c r="F23" t="inlineStr">
        <is>
          <t>note 20</t>
        </is>
      </c>
    </row>
    <row r="24">
      <c r="A24" t="inlineStr">
        <is>
          <t>Current: Unsecured loans from others</t>
        </is>
      </c>
      <c r="B24" t="inlineStr"/>
      <c r="C24" t="inlineStr"/>
      <c r="D24" t="n">
        <v>3366</v>
      </c>
      <c r="E24" t="n">
        <v>0</v>
      </c>
      <c r="F24" t="inlineStr">
        <is>
          <t>note 20</t>
        </is>
      </c>
    </row>
    <row r="25">
      <c r="A25" t="inlineStr">
        <is>
          <t>Current: Commercial paper (note 20)</t>
        </is>
      </c>
      <c r="B25" t="inlineStr"/>
      <c r="C25" t="inlineStr"/>
      <c r="D25" t="n">
        <v>29162</v>
      </c>
      <c r="E25" t="n">
        <v>13186</v>
      </c>
      <c r="F25" t="inlineStr">
        <is>
          <t>note 20</t>
        </is>
      </c>
    </row>
    <row r="26">
      <c r="A26" t="inlineStr">
        <is>
          <t>Current: Loans from related parties</t>
        </is>
      </c>
      <c r="B26" t="inlineStr"/>
      <c r="C26" t="inlineStr"/>
      <c r="D26" t="n">
        <v>62</v>
      </c>
      <c r="E26" t="n">
        <v>0</v>
      </c>
      <c r="F26" t="inlineStr">
        <is>
          <t>note 20</t>
        </is>
      </c>
    </row>
    <row r="27">
      <c r="A27" t="inlineStr">
        <is>
          <t>Current: Current maturities (note 20)</t>
        </is>
      </c>
      <c r="B27" t="inlineStr"/>
      <c r="C27" t="inlineStr"/>
      <c r="D27" t="n">
        <v>29323</v>
      </c>
      <c r="E27" t="n">
        <v>25965</v>
      </c>
      <c r="F27" t="inlineStr">
        <is>
          <t>note 20</t>
        </is>
      </c>
    </row>
    <row r="28">
      <c r="A28" t="inlineStr">
        <is>
          <t>Secured NCDs: 7.79% Rs 20,000 crore (15,000 due 2033-34; 5,000 due 2032-33)</t>
        </is>
      </c>
      <c r="B28" t="inlineStr"/>
      <c r="C28" t="inlineStr"/>
      <c r="D28" t="inlineStr"/>
      <c r="E28" t="n">
        <v>20000</v>
      </c>
      <c r="F28" t="inlineStr">
        <is>
          <t>note 16.3 (face); unsecured NCDs 7,389 at 8.65-9.05% due 2028-29</t>
        </is>
      </c>
    </row>
    <row r="29">
      <c r="A29" t="inlineStr">
        <is>
          <t>DoT liabilities by auction: Mar-2021 7.30% / Aug-2022 7.20% / Jul-2024 8.65%</t>
        </is>
      </c>
      <c r="B29" t="inlineStr"/>
      <c r="C29" t="inlineStr"/>
      <c r="D29" t="inlineStr"/>
      <c r="E29" t="inlineStr">
        <is>
          <t>30,213 / 73,425 / 876</t>
        </is>
      </c>
      <c r="F29" t="inlineStr">
        <is>
          <t>note 17 footnote</t>
        </is>
      </c>
    </row>
    <row r="30">
      <c r="A30" t="inlineStr">
        <is>
          <t>Currency mix</t>
        </is>
      </c>
      <c r="B30" t="inlineStr"/>
      <c r="C30" t="inlineStr"/>
      <c r="D30" t="inlineStr"/>
      <c r="E30" t="inlineStr"/>
      <c r="F30" t="inlineStr">
        <is>
          <t>foreign-currency bonds 57,274 (NC) + 510 (current); FC term loans and ECBs inside term loans - split not disclosed in the notes read</t>
        </is>
      </c>
    </row>
    <row r="31"/>
    <row r="32">
      <c r="A32" s="2" t="inlineStr">
        <is>
          <t>(iii) THE AR'S OWN NET-DEBT BRIDGE (note 35)</t>
        </is>
      </c>
      <c r="B32" s="2" t="inlineStr">
        <is>
          <t>FY2023</t>
        </is>
      </c>
      <c r="C32" s="2" t="inlineStr">
        <is>
          <t>FY2024</t>
        </is>
      </c>
      <c r="D32" s="2" t="inlineStr">
        <is>
          <t>FY2025</t>
        </is>
      </c>
      <c r="E32" s="2" t="inlineStr">
        <is>
          <t>FY2026</t>
        </is>
      </c>
      <c r="F32" s="2" t="inlineStr"/>
    </row>
    <row r="33">
      <c r="A33" t="inlineStr">
        <is>
          <t>Gross debt</t>
        </is>
      </c>
      <c r="B33" t="n">
        <v>313966</v>
      </c>
      <c r="C33" t="n">
        <v>324622</v>
      </c>
      <c r="D33" t="n">
        <v>347530</v>
      </c>
      <c r="E33" t="n">
        <v>374421</v>
      </c>
      <c r="F33" t="inlineStr">
        <is>
          <t>note 35 capital management</t>
        </is>
      </c>
    </row>
    <row r="34">
      <c r="A34" t="inlineStr">
        <is>
          <t>Cash and marketable securities</t>
        </is>
      </c>
      <c r="B34" t="n">
        <v>188200</v>
      </c>
      <c r="C34" t="n">
        <v>208341</v>
      </c>
      <c r="D34" t="n">
        <v>230447</v>
      </c>
      <c r="E34" t="n">
        <v>249704</v>
      </c>
      <c r="F34" t="inlineStr">
        <is>
          <t>note 35 capital management</t>
        </is>
      </c>
    </row>
    <row r="35">
      <c r="A35" t="inlineStr">
        <is>
          <t>Net debt</t>
        </is>
      </c>
      <c r="B35" t="n">
        <v>125766</v>
      </c>
      <c r="C35" t="n">
        <v>116281</v>
      </c>
      <c r="D35" t="n">
        <v>117083</v>
      </c>
      <c r="E35" t="n">
        <v>124717</v>
      </c>
      <c r="F35" t="inlineStr">
        <is>
          <t>note 35 capital management</t>
        </is>
      </c>
    </row>
    <row r="36">
      <c r="A36" t="inlineStr">
        <is>
          <t>Equity attributable to owners</t>
        </is>
      </c>
      <c r="B36" t="n">
        <v>715872</v>
      </c>
      <c r="C36" t="n">
        <v>793481</v>
      </c>
      <c r="D36" t="n">
        <v>843200</v>
      </c>
      <c r="E36" t="n">
        <v>904030</v>
      </c>
      <c r="F36" t="inlineStr">
        <is>
          <t>note 35 capital management</t>
        </is>
      </c>
    </row>
    <row r="37">
      <c r="A37" t="inlineStr">
        <is>
          <t>Arithmetic: gross debt - cash &amp; MS</t>
        </is>
      </c>
      <c r="B37" t="n">
        <v>125766</v>
      </c>
      <c r="C37" t="n">
        <v>116281</v>
      </c>
      <c r="D37" t="n">
        <v>117083</v>
      </c>
      <c r="E37" t="n">
        <v>124717</v>
      </c>
      <c r="F37" t="inlineStr">
        <is>
          <t>equals printed net debt every year</t>
        </is>
      </c>
    </row>
    <row r="38">
      <c r="A38" t="inlineStr">
        <is>
          <t>Company net gearing (x)</t>
        </is>
      </c>
      <c r="B38" t="n">
        <v>0.18</v>
      </c>
      <c r="C38" t="n">
        <v>0.15</v>
      </c>
      <c r="D38" t="n">
        <v>0.14</v>
      </c>
      <c r="E38" t="n">
        <v>0.14</v>
      </c>
      <c r="F38" t="inlineStr">
        <is>
          <t>printed 0.18 / 0.15 / 0.14 / 0.14</t>
        </is>
      </c>
    </row>
    <row r="39">
      <c r="A39" t="inlineStr">
        <is>
          <t>Analyst net adjusted debt (adds leases + DoT liabilities)</t>
        </is>
      </c>
      <c r="B39" t="n">
        <v>263505</v>
      </c>
      <c r="C39" t="n">
        <v>250616</v>
      </c>
      <c r="D39" t="n">
        <v>248276</v>
      </c>
      <c r="E39" t="n">
        <v>252810</v>
      </c>
      <c r="F39" t="inlineStr">
        <is>
          <t>basis difference: company net debt excludes leases (23,579) and DoT liabilities (1,04,514) in FY2026</t>
        </is>
      </c>
    </row>
    <row r="40"/>
    <row r="41">
      <c r="A41" s="2" t="inlineStr">
        <is>
          <t>(iv) RATED LIMITS vs DRAWN DEBT</t>
        </is>
      </c>
      <c r="B41" s="2" t="inlineStr"/>
      <c r="C41" s="2" t="inlineStr"/>
      <c r="D41" s="2" t="inlineStr"/>
      <c r="E41" s="2" t="inlineStr">
        <is>
          <t>Rs crore</t>
        </is>
      </c>
      <c r="F41" s="2" t="inlineStr"/>
    </row>
    <row r="42">
      <c r="A42" t="inlineStr">
        <is>
          <t>CRISIL bank facilities - CRA-PUBLISHED 30-Mar-2026 (Credit Bulletin), NOT issuer-confirmed</t>
        </is>
      </c>
      <c r="B42" t="inlineStr"/>
      <c r="C42" t="inlineStr"/>
      <c r="D42" t="inlineStr"/>
      <c r="E42" t="inlineStr">
        <is>
          <t>see rationale Annexure</t>
        </is>
      </c>
      <c r="F42" t="inlineStr">
        <is>
          <t>ECB 23,424 + fund-based 22,740 + non-fund-based 50,510 + proposed 326 + term loan 3,000</t>
        </is>
      </c>
    </row>
    <row r="43">
      <c r="A43" t="inlineStr">
        <is>
          <t>Drawn borrowings 31-Mar-2026 (consolidated, all entities)</t>
        </is>
      </c>
      <c r="B43" t="inlineStr"/>
      <c r="C43" t="inlineStr"/>
      <c r="D43" t="inlineStr"/>
      <c r="E43" t="n">
        <v>374421</v>
      </c>
      <c r="F43" t="inlineStr">
        <is>
          <t>limits (RIL facilities) and consolidated drawn debt are different measures and are not expected to reconcile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2026-10-10T14:11:55Z</dcterms:created>
  <dcterms:modified xmlns:dcterms="http://purl.org/dc/terms/" xmlns:xsi="http://www.w3.org/2001/XMLSchema-instance" xsi:type="dcterms:W3CDTF">2026-10-10T14:11:55Z</dcterms:modified>
</cp:coreProperties>
</file>