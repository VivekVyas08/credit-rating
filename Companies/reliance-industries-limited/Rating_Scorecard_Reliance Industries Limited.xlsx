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name val="Calibri"/>
      <family val="2"/>
      <b val="1"/>
      <color theme="1"/>
      <sz val="11"/>
      <scheme val="minor"/>
    </font>
    <font>
      <sz val="10"/>
    </font>
    <font>
      <b val="1"/>
      <color rgb="001B2A4A"/>
      <sz val="10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8" fillId="0" borderId="0" pivotButton="0" quotePrefix="0" xfId="0"/>
    <xf numFmtId="0" fontId="16" fillId="5" borderId="0" applyAlignment="1" pivotButton="0" quotePrefix="0" xfId="0">
      <alignment vertical="top"/>
    </xf>
    <xf numFmtId="0" fontId="19" fillId="0" borderId="0" applyAlignment="1" pivotButton="0" quotePrefix="0" xfId="0">
      <alignment vertical="top"/>
    </xf>
    <xf numFmtId="0" fontId="20" fillId="0" borderId="0" pivotButton="0" quotePrefix="0" xfId="0"/>
    <xf numFmtId="0" fontId="2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CRISIL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CRISIL/CRISIL/CRISIL published criteria. Calibrate against the methodology files before relying on output (e.g. CRISIL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CRISIL blocks A-E; CRISIL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CRISIL.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Reliance Industries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CRISIL</t>
        </is>
      </c>
    </row>
    <row r="6">
      <c r="B6" s="5" t="inlineStr">
        <is>
          <t>Sector</t>
        </is>
      </c>
      <c r="C6" s="6" t="inlineStr">
        <is>
          <t>Generic corporate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10-Oct-2026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914472</v>
      </c>
      <c r="D12" s="35" t="n">
        <v>980136</v>
      </c>
      <c r="E12" s="35" t="n">
        <v>1075675</v>
      </c>
      <c r="F12" t="inlineStr">
        <is>
          <t>Revenue from operations (net of GST), consolidated P&amp;L</t>
        </is>
      </c>
    </row>
    <row r="13">
      <c r="B13" s="13" t="inlineStr">
        <is>
          <t>EBITDA (OPBDIT / PBILDT)</t>
        </is>
      </c>
      <c r="C13" s="35" t="n">
        <v>178290</v>
      </c>
      <c r="D13" s="35" t="n">
        <v>183422</v>
      </c>
      <c r="E13" s="35" t="n">
        <v>198987</v>
      </c>
      <c r="F13" t="inlineStr">
        <is>
          <t>CRISIL PBDIT: PBT + finance costs + D&amp;A, i.e. INCLUDING recurring other income and EXCLUDING the FY2026 one-time Rs 8,924 crore profit on sale of listed investments; company EBITDA 1,78,290 / 1,83,422 / 2,07,911 (engine tie-outs)</t>
        </is>
      </c>
    </row>
    <row r="14">
      <c r="B14" s="13" t="inlineStr">
        <is>
          <t>Depreciation &amp; amortisation</t>
        </is>
      </c>
      <c r="C14" s="35" t="n">
        <v>50832</v>
      </c>
      <c r="D14" s="35" t="n">
        <v>53136</v>
      </c>
      <c r="E14" s="35" t="n">
        <v>57688</v>
      </c>
      <c r="F14" t="inlineStr">
        <is>
          <t>consolidated P&amp;L</t>
        </is>
      </c>
    </row>
    <row r="15">
      <c r="B15" s="13" t="inlineStr">
        <is>
          <t>Interest expense</t>
        </is>
      </c>
      <c r="C15" s="35" t="n">
        <v>38340</v>
      </c>
      <c r="D15" s="35" t="n">
        <v>42552</v>
      </c>
      <c r="E15" s="35" t="n">
        <v>43152</v>
      </c>
      <c r="F15" t="inlineStr">
        <is>
          <t>CRISIL interest = P&amp;L finance costs (incl. lease interest and forex loss) + interest capitalised 15,222 / 18,283 / 16,091 (note 29 footnote)</t>
        </is>
      </c>
    </row>
    <row r="16">
      <c r="B16" s="13" t="inlineStr">
        <is>
          <t>Profit after tax (PAT)</t>
        </is>
      </c>
      <c r="C16" s="35" t="n">
        <v>79020</v>
      </c>
      <c r="D16" s="35" t="n">
        <v>81309</v>
      </c>
      <c r="E16" s="35" t="n">
        <v>95754</v>
      </c>
      <c r="F16" t="inlineStr">
        <is>
          <t>profit for the year incl. NCI share and associates</t>
        </is>
      </c>
    </row>
    <row r="17">
      <c r="B17" s="13" t="inlineStr">
        <is>
          <t>Total debt (incl. lease liabilities)</t>
        </is>
      </c>
      <c r="C17" s="35" t="n">
        <v>458991</v>
      </c>
      <c r="D17" s="35" t="n">
        <v>478723</v>
      </c>
      <c r="E17" s="35" t="n">
        <v>502514</v>
      </c>
      <c r="F17" t="inlineStr">
        <is>
          <t>CRISIL adjusted debt = borrowings + leases + DoT deferred spectrum liabilities. Supplier finance (note 44: 1,03,716 FY2025 / 76,377 FY2026) is NOT included here; including it, FY2026 gearing is 0.53x and debt/PBDIT 2.91x (engine)</t>
        </is>
      </c>
    </row>
    <row r="18">
      <c r="B18" s="13" t="inlineStr">
        <is>
          <t>Cash &amp; liquid investments</t>
        </is>
      </c>
      <c r="C18" s="35" t="n">
        <v>208375</v>
      </c>
      <c r="D18" s="35" t="n">
        <v>230447</v>
      </c>
      <c r="E18" s="35" t="n">
        <v>249704</v>
      </c>
      <c r="F18" t="inlineStr">
        <is>
          <t>cash + current investments + other marketable securities (the AR's own note-35 definition); no earmarked balances identified at this level of disclosure</t>
        </is>
      </c>
    </row>
    <row r="19">
      <c r="B19" s="13" t="inlineStr">
        <is>
          <t>Tangible net worth</t>
        </is>
      </c>
      <c r="C19" s="35" t="n">
        <v>925788</v>
      </c>
      <c r="D19" s="35" t="n">
        <v>1009626</v>
      </c>
      <c r="E19" s="35" t="n">
        <v>1085866</v>
      </c>
      <c r="F19" t="inlineStr">
        <is>
          <t>adjusted networth = total equity incl. non-controlling interest; DTL excluded; no revaluation reserve; goodwill/spectrum not deducted (acquired operating licences - CRISIL assesses case-specifically)</t>
        </is>
      </c>
    </row>
    <row r="20">
      <c r="B20" s="13" t="inlineStr">
        <is>
          <t>Total outside liabilities</t>
        </is>
      </c>
      <c r="C20" s="35" t="n">
        <v>830198</v>
      </c>
      <c r="D20" s="35" t="n">
        <v>940495</v>
      </c>
      <c r="E20" s="35" t="n">
        <v>1092274</v>
      </c>
      <c r="F20" t="inlineStr">
        <is>
          <t>total liabilities, consolidated balance sheet</t>
        </is>
      </c>
    </row>
    <row r="21">
      <c r="B21" s="13" t="inlineStr">
        <is>
          <t>Current assets</t>
        </is>
      </c>
      <c r="C21" s="35" t="n">
        <v>470100</v>
      </c>
      <c r="D21" s="35" t="n">
        <v>499270</v>
      </c>
      <c r="E21" s="35" t="n">
        <v>594249</v>
      </c>
      <c r="F21" t="inlineStr">
        <is>
          <t>total current assets</t>
        </is>
      </c>
    </row>
    <row r="22">
      <c r="B22" s="13" t="inlineStr">
        <is>
          <t>Current liabilities</t>
        </is>
      </c>
      <c r="C22" s="35" t="n">
        <v>397367</v>
      </c>
      <c r="D22" s="35" t="n">
        <v>453737</v>
      </c>
      <c r="E22" s="35" t="n">
        <v>541254</v>
      </c>
      <c r="F22" t="inlineStr">
        <is>
          <t>total current liabilities</t>
        </is>
      </c>
    </row>
    <row r="23">
      <c r="B23" s="13" t="inlineStr">
        <is>
          <t>Capital expenditure</t>
        </is>
      </c>
      <c r="C23" s="35" t="n">
        <v>152883</v>
      </c>
      <c r="D23" s="35" t="n">
        <v>139967</v>
      </c>
      <c r="E23" s="35" t="n">
        <v>122916</v>
      </c>
      <c r="F23" t="inlineStr">
        <is>
          <t>consolidated cash flow</t>
        </is>
      </c>
    </row>
    <row r="24">
      <c r="B24" s="13" t="inlineStr">
        <is>
          <t>Dividends paid</t>
        </is>
      </c>
      <c r="C24" s="35" t="n">
        <v>6089</v>
      </c>
      <c r="D24" s="35" t="n">
        <v>7180</v>
      </c>
      <c r="E24" s="35" t="n">
        <v>7879</v>
      </c>
      <c r="F24" t="inlineStr">
        <is>
          <t>consolidated cash flow (owners + NCI)</t>
        </is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0.08169999999999999</v>
      </c>
      <c r="D29" s="36" t="n">
        <v>0.07199999999999999</v>
      </c>
      <c r="E29" t="inlineStr">
        <is>
          <t>source: forecast model (RIL_Financial_Model_10Oct2026.xlsx, Revenue Model (segment growth: O2C 5%/3%, Retail 12%, Digital 13%/12%))</t>
        </is>
      </c>
    </row>
    <row r="30">
      <c r="B30" s="13" t="inlineStr">
        <is>
          <t>EBITDA margin (%)</t>
        </is>
      </c>
      <c r="C30" s="36" t="n">
        <v>0.1858</v>
      </c>
      <c r="D30" s="36" t="n">
        <v>0.1872</v>
      </c>
      <c r="E30" t="inlineStr">
        <is>
          <t>source: forecast model (RIL_Financial_Model_10Oct2026.xlsx, Income Statement (segment EBITDA + treasury yield + unallocable))</t>
        </is>
      </c>
    </row>
    <row r="31">
      <c r="B31" s="13" t="inlineStr">
        <is>
          <t>Capital expenditure (Rs crore)</t>
        </is>
      </c>
      <c r="C31" s="35" t="n">
        <v>150000</v>
      </c>
      <c r="D31" s="35" t="n">
        <v>145000</v>
      </c>
      <c r="E31" t="inlineStr">
        <is>
          <t>source: forecast model (RIL_Financial_Model_10Oct2026.xlsx, Assumptions (cash capex 1,50,000 / 1,45,000))</t>
        </is>
      </c>
    </row>
    <row r="32">
      <c r="B32" s="13" t="inlineStr">
        <is>
          <t>Net new debt + / (repayment) (Rs crore)</t>
        </is>
      </c>
      <c r="C32" s="35" t="n">
        <v>-4962</v>
      </c>
      <c r="D32" s="35" t="n">
        <v>-5300</v>
      </c>
      <c r="E32" t="inlineStr">
        <is>
          <t>source: forecast model (RIL_Financial_Model_10Oct2026.xlsx, Credit Ratios (no funding-gap draw in the base case; only DoT instalments 4,962 / 5,300 reduce debt))</t>
        </is>
      </c>
    </row>
    <row r="33">
      <c r="B33" s="13" t="inlineStr">
        <is>
          <t>Average interest rate on debt (%)</t>
        </is>
      </c>
      <c r="C33" s="36" t="n">
        <v>0.08</v>
      </c>
      <c r="D33" s="36" t="n">
        <v>0.08</v>
      </c>
      <c r="E33" t="inlineStr">
        <is>
          <t>source: forecast model (RIL_Financial_Model_10Oct2026.xlsx, Assumptions (gross 8.0% on borrowings + DoT liabilities, part capitalised))</t>
        </is>
      </c>
    </row>
    <row r="34">
      <c r="B34" s="13" t="inlineStr">
        <is>
          <t>Tax rate (%)</t>
        </is>
      </c>
      <c r="C34" s="36" t="n">
        <v>0.23</v>
      </c>
      <c r="D34" s="36" t="n">
        <v>0.23</v>
      </c>
      <c r="E34" t="inlineStr">
        <is>
          <t>source: forecast model (RIL_Financial_Model_10Oct2026.xlsx, Assumptions (tax 23%))</t>
        </is>
      </c>
    </row>
    <row r="35">
      <c r="B35" s="13" t="inlineStr">
        <is>
          <t>Dividend payout (% of PAT)</t>
        </is>
      </c>
      <c r="C35" s="36" t="n">
        <v>0.0863</v>
      </c>
      <c r="D35" s="36" t="n">
        <v>0.0824</v>
      </c>
      <c r="E35" t="inlineStr">
        <is>
          <t>source: forecast model (RIL_Financial_Model_10Oct2026.xlsx, Cash Flow / Income Statement: FY+1 = Rs 6/share for FY2026 (8,119, note 45) + NCI ~450; later ~10% of PAT)</t>
        </is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inlineStr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1</v>
      </c>
      <c r="F40" s="9" t="inlineStr">
        <is>
          <t>1 - leadership in every core business: O2C throughput 80.0 MMT (FY2026) at an integrated refining-petrochemical complex; Jio 524.4 million subscribers (Q4 FY2026) and Q4 ARPU Rs 214.0; Retail 20,160 stores, 78.3 mn sq ft, 387 mn registered customers; four segments, none above 39.5% of FY2026 segment EBITDA (engine) - the diversity CRISIL treats as a business-risk strength.</t>
        </is>
      </c>
    </row>
    <row r="41">
      <c r="B41" s="13" t="inlineStr">
        <is>
          <t>Management &amp; governance score</t>
        </is>
      </c>
      <c r="C41" s="17" t="n">
        <v>2</v>
      </c>
      <c r="F41" s="9" t="inlineStr">
        <is>
          <t>2 - promoter group 49.11% (FY2026 AR); unmodified audit opinions with KAMs on litigation, a Level-3 valuation (Rs 77,852 crore JDFPL preference shares) and Jio revenue/IT; risk appetite is high - capex 1.31-1.44 lakh crore a year and new-energy projects large relative to most Indian corporates (CRISIL: projects larger than operations viewed unfavourably), but funded within a stated investment-grade capital framework (note 35). Not 1: the SEBI RPL disgorgement (Rs 447.27 crore + 12% interest) awaits the Supreme Court; KG D6 USD 1.87 billion demand open.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0 - RIL is the group flagship; no parent support claimed and no downward linkage (no weaker parent).</t>
        </is>
      </c>
    </row>
    <row r="43">
      <c r="B43" s="13" t="inlineStr">
        <is>
          <t>Liquidity descriptor</t>
        </is>
      </c>
      <c r="C43" s="6" t="inlineStr">
        <is>
          <t>Superior</t>
        </is>
      </c>
      <c r="F43" s="9" t="inlineStr">
        <is>
          <t>Step 11 arithmetic: cash and marketable securities Rs 2,49,704 crore (31-Mar-2026) against debt falling due within a year (current maturities 25,965 + DoT 4,962 + leases 7,381 = 38,308) plus CP 13,186 - cover 4.85x; Q1 FY2027 cash Rs 2,46,791 crore.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/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1</v>
      </c>
      <c r="D61" s="51" t="inlineStr">
        <is>
          <t>+1 Business / franchise strength beyond the financial composite (Committee, 10-Oct-2026): the composite scores a conglomerate as one 'Generic corporate' and cannot see diversity - no segment above 39.5% of FY2026 segment EBITDA, consumer share 46.7% -&gt; 53.4% (FY2024-26), and the FY2025 O2C fall (-7,401) more than offset by Digital and Retail (+10,312). Liquidity and flexibility are beyond the template's bands: cash and marketable securities Rs 2,49,704 crore = 4.85x debt due within a year plus CP; market cap ~Rs 15.8 lakh crore = 3.2x adjusted debt. Base case: adjusted debt/PBDIT 2.30x FY2027 -&gt; 1.60x FY2031 with no new borrowing. Known template bias: under-rates AA+/AAA (back-test 18-Jul-2026). Not applied as a hard-cap disapplication - no cap binds.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/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/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/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67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>1163557.6475000002</v>
      </c>
      <c r="D5" s="37">
        <f>C5*(1+Inputs!D29)</f>
        <v>1247333.7981200004</v>
      </c>
    </row>
    <row r="6">
      <c r="B6" s="13" t="inlineStr">
        <is>
          <t>EBITDA</t>
        </is>
      </c>
      <c r="C6" s="37">
        <f>C5*Inputs!C30</f>
        <v>216189.0109055</v>
      </c>
      <c r="D6" s="37">
        <f>D5*Inputs!D30</f>
        <v>233500.8870080641</v>
      </c>
    </row>
    <row r="7">
      <c r="B7" s="13" t="inlineStr">
        <is>
          <t>Depreciation</t>
        </is>
      </c>
      <c r="C7" s="37">
        <f>Inputs!E14</f>
        <v>57688</v>
      </c>
      <c r="D7" s="37">
        <f>C7</f>
        <v>57688</v>
      </c>
    </row>
    <row r="8">
      <c r="B8" s="13" t="inlineStr">
        <is>
          <t>EBIT</t>
        </is>
      </c>
      <c r="C8" s="37">
        <f>C6-C7</f>
        <v>158501.0109055</v>
      </c>
      <c r="D8" s="37">
        <f>D6-D7</f>
        <v>175812.8870080641</v>
      </c>
    </row>
    <row r="9">
      <c r="B9" s="13" t="inlineStr">
        <is>
          <t>Total debt (closing)</t>
        </is>
      </c>
      <c r="C9" s="37">
        <f>Inputs!E17+Inputs!C32</f>
        <v>497552.0</v>
      </c>
      <c r="D9" s="37">
        <f>C9+Inputs!D32</f>
        <v>492252.0</v>
      </c>
    </row>
    <row r="10">
      <c r="B10" s="13" t="inlineStr">
        <is>
          <t>Interest expense</t>
        </is>
      </c>
      <c r="C10" s="37">
        <f>AVERAGE(Inputs!E17,C9)*Inputs!C33</f>
        <v>40002.64</v>
      </c>
      <c r="D10" s="37">
        <f>AVERAGE(C9,D9)*Inputs!D33</f>
        <v>39592.16</v>
      </c>
    </row>
    <row r="11">
      <c r="B11" s="13" t="inlineStr">
        <is>
          <t>Profit before tax</t>
        </is>
      </c>
      <c r="C11" s="37">
        <f>C8-C10</f>
        <v>118498.3709055</v>
      </c>
      <c r="D11" s="37">
        <f>D8-D10</f>
        <v>136220.7270080641</v>
      </c>
    </row>
    <row r="12">
      <c r="B12" s="13" t="inlineStr">
        <is>
          <t>Tax</t>
        </is>
      </c>
      <c r="C12" s="37">
        <f>MAX(C11,0)*Inputs!C34</f>
        <v>27254.625308265</v>
      </c>
      <c r="D12" s="37">
        <f>MAX(D11,0)*Inputs!D34</f>
        <v>31330.7672118547</v>
      </c>
    </row>
    <row r="13">
      <c r="B13" s="13" t="inlineStr">
        <is>
          <t>PAT</t>
        </is>
      </c>
      <c r="C13" s="37">
        <f>C11-C12</f>
        <v>91243.745597235</v>
      </c>
      <c r="D13" s="37">
        <f>D11-D12</f>
        <v>104889.9597962093</v>
      </c>
    </row>
    <row r="14">
      <c r="B14" s="13" t="inlineStr">
        <is>
          <t>Gross cash accruals (PAT + Dep)</t>
        </is>
      </c>
      <c r="C14" s="37">
        <f>C13+C7</f>
        <v>148931.745597235</v>
      </c>
      <c r="D14" s="37">
        <f>D13+D7</f>
        <v>162577.9597962094</v>
      </c>
    </row>
    <row r="15">
      <c r="B15" s="13" t="inlineStr">
        <is>
          <t>Dividends</t>
        </is>
      </c>
      <c r="C15" s="37">
        <f>C13*Inputs!C35</f>
        <v>7874.3352450414</v>
      </c>
      <c r="D15" s="37">
        <f>D13*Inputs!D35</f>
        <v>8642.9326872076</v>
      </c>
    </row>
    <row r="16">
      <c r="B16" s="13" t="inlineStr">
        <is>
          <t>Tangible net worth (closing)</t>
        </is>
      </c>
      <c r="C16" s="37">
        <f>Inputs!E19+C13-C15</f>
        <v>1169235.4103521935</v>
      </c>
      <c r="D16" s="37">
        <f>C16+D13-D15</f>
        <v>1265482.4374611953</v>
      </c>
    </row>
    <row r="17">
      <c r="B17" s="13" t="inlineStr">
        <is>
          <t>Cash &amp; liquid investments (closing)</t>
        </is>
      </c>
      <c r="C17" s="37">
        <f>Inputs!E18+C14-Inputs!C31-C15+Inputs!C32</f>
        <v>235799.4103521937</v>
      </c>
      <c r="D17" s="37">
        <f>C17+D14-Inputs!D31-D15+Inputs!D32</f>
        <v>239434.4374611953</v>
      </c>
    </row>
    <row r="18">
      <c r="B18" s="13" t="inlineStr">
        <is>
          <t>Free cash flow (GCA - capex - dividends)</t>
        </is>
      </c>
      <c r="C18" s="37">
        <f>C14-Inputs!C31-C15</f>
        <v>-8942.5896478063</v>
      </c>
      <c r="D18" s="37">
        <f>D14-Inputs!D31-D15</f>
        <v>8935.0271090017</v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 t="str">
        <f>"Agency: "&amp;Inputs!C5&amp;"   |   EBITDA is labelled "&amp;INDEX(Ref_Scales!I5:I7,MATCH(Inputs!C5,Ref_Scales!H5:H7,0))&amp;" by this agency"</f>
        <v>Agency: CRISIL   |   EBITDA is labelled EBITDA by this agency</v>
      </c>
    </row>
    <row r="5">
      <c r="B5" s="11" t="inlineStr">
        <is>
          <t>Ratio</t>
        </is>
      </c>
      <c r="C5" s="15" t="str">
        <f>Inputs!C11</f>
        <v>FY2024</v>
      </c>
      <c r="D5" s="15" t="str">
        <f>Inputs!D11</f>
        <v>FY2025</v>
      </c>
      <c r="E5" s="15" t="str">
        <f>Inputs!E11</f>
        <v>FY2026</v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>0.0718053697</v>
      </c>
      <c r="E6" s="38">
        <f>Inputs!E12/Inputs!D12-1</f>
        <v>0.0974752483</v>
      </c>
      <c r="F6" s="38">
        <f>Projections!C5/Inputs!E12-1</f>
        <v>0.0817</v>
      </c>
      <c r="G6" s="38">
        <f>Projections!D5/Projections!C5-1</f>
        <v>0.072</v>
      </c>
    </row>
    <row r="7">
      <c r="B7" s="13" t="str">
        <f>INDEX(Ref_Scales!I5:I7,MATCH(Inputs!C5,Ref_Scales!H5:H7,0))&amp;" margin (%)"</f>
        <v>EBITDA margin (%)</v>
      </c>
      <c r="C7" s="38">
        <f>Inputs!C13/Inputs!C12</f>
        <v>0.1949649634</v>
      </c>
      <c r="D7" s="38">
        <f>Inputs!D13/Inputs!D12</f>
        <v>0.1871393358</v>
      </c>
      <c r="E7" s="38">
        <f>Inputs!E13/Inputs!E12</f>
        <v>0.1849880308</v>
      </c>
      <c r="F7" s="38">
        <f>Projections!C6/Projections!C5</f>
        <v>0.1858</v>
      </c>
      <c r="G7" s="38">
        <f>Projections!D6/Projections!D5</f>
        <v>0.1872</v>
      </c>
    </row>
    <row r="8">
      <c r="B8" s="13" t="inlineStr">
        <is>
          <t>PAT margin (%)</t>
        </is>
      </c>
      <c r="C8" s="38">
        <f>Inputs!C16/Inputs!C12</f>
        <v>0.0864105189</v>
      </c>
      <c r="D8" s="38">
        <f>Inputs!D16/Inputs!D12</f>
        <v>0.082956855</v>
      </c>
      <c r="E8" s="38">
        <f>Inputs!E16/Inputs!E12</f>
        <v>0.0890175936</v>
      </c>
      <c r="F8" s="38">
        <f>Projections!C13/Projections!C5</f>
        <v>0.0784178986</v>
      </c>
      <c r="G8" s="38">
        <f>Projections!D13/Projections!D5</f>
        <v>0.0840913314</v>
      </c>
    </row>
    <row r="9">
      <c r="B9" s="13" t="inlineStr">
        <is>
          <t>ROCE (EBIT / (TD + TNW)) (%)</t>
        </is>
      </c>
      <c r="C9" s="38">
        <f>(Inputs!C13-Inputs!C14)/(Inputs!C17+Inputs!C19)</f>
        <v>0.0920421237</v>
      </c>
      <c r="D9" s="38">
        <f>(Inputs!D13-Inputs!D14)/(Inputs!D17+Inputs!D19)</f>
        <v>0.0875372644</v>
      </c>
      <c r="E9" s="38">
        <f>(Inputs!E13-Inputs!E14)/(Inputs!E17+Inputs!E19)</f>
        <v>0.088957932</v>
      </c>
      <c r="F9" s="38">
        <f>Projections!C8/(Projections!C9+Projections!C16)</f>
        <v>0.0950937174</v>
      </c>
      <c r="G9" s="38">
        <f>Projections!D8/(Projections!D9+Projections!D16)</f>
        <v>0.1000224398</v>
      </c>
    </row>
    <row r="10">
      <c r="B10" s="13" t="str">
        <f>"Gearing / overall gearing - Total debt/TNW (x)"</f>
        <v>Gearing / overall gearing - Total debt/TNW (x)</v>
      </c>
      <c r="C10" s="39">
        <f>Inputs!C17/Inputs!C19</f>
        <v>0.495784132</v>
      </c>
      <c r="D10" s="39">
        <f>Inputs!D17/Inputs!D19</f>
        <v>0.4741587479</v>
      </c>
      <c r="E10" s="39">
        <f>Inputs!E17/Inputs!E19</f>
        <v>0.4627771751</v>
      </c>
      <c r="F10" s="39">
        <f>Projections!C9/Projections!C16</f>
        <v>0.4255362056</v>
      </c>
      <c r="G10" s="39">
        <f>Projections!D9/Projections!D16</f>
        <v>0.3889836678</v>
      </c>
    </row>
    <row r="11">
      <c r="B11" s="13" t="inlineStr">
        <is>
          <t>TOL/TNW (x)</t>
        </is>
      </c>
      <c r="C11" s="39">
        <f>Inputs!C20/Inputs!C19</f>
        <v>0.8967474195</v>
      </c>
      <c r="D11" s="39">
        <f>Inputs!D20/Inputs!D19</f>
        <v>0.9315281104</v>
      </c>
      <c r="E11" s="39">
        <f>Inputs!E20/Inputs!E19</f>
        <v>1.0059012806</v>
      </c>
      <c r="F11" s="39" t="inlineStr">
        <is>
          <t>n.a.</t>
        </is>
      </c>
      <c r="G11" s="39" t="inlineStr">
        <is>
          <t>n.a.</t>
        </is>
      </c>
    </row>
    <row r="12">
      <c r="B12" s="13" t="str">
        <f>"Total debt/"&amp;INDEX(Ref_Scales!I5:I7,MATCH(Inputs!C5,Ref_Scales!H5:H7,0))&amp;" (x)"</f>
        <v>Total debt/EBITDA (x)</v>
      </c>
      <c r="C12" s="39">
        <f>Inputs!C17/Inputs!C13</f>
        <v>2.5744068652</v>
      </c>
      <c r="D12" s="39">
        <f>Inputs!D17/Inputs!D13</f>
        <v>2.6099540949</v>
      </c>
      <c r="E12" s="39">
        <f>Inputs!E17/Inputs!E13</f>
        <v>2.5253609532</v>
      </c>
      <c r="F12" s="39">
        <f>Projections!C9/Projections!C6</f>
        <v>2.3014675812</v>
      </c>
      <c r="G12" s="39">
        <f>Projections!D9/Projections!D6</f>
        <v>2.108137602</v>
      </c>
    </row>
    <row r="13">
      <c r="B13" s="13" t="inlineStr">
        <is>
          <t>Total debt/GCA (x)</t>
        </is>
      </c>
      <c r="C13" s="39">
        <f>Inputs!C17/(Inputs!C16+Inputs!C14)</f>
        <v>3.5347241475</v>
      </c>
      <c r="D13" s="39">
        <f>Inputs!D17/(Inputs!D16+Inputs!D14)</f>
        <v>3.560734873</v>
      </c>
      <c r="E13" s="39">
        <f>Inputs!E17/(Inputs!E16+Inputs!E14)</f>
        <v>3.2749442786</v>
      </c>
      <c r="F13" s="39">
        <f>Projections!C9/Projections!C14</f>
        <v>3.3408055348</v>
      </c>
      <c r="G13" s="39">
        <f>Projections!D9/Projections!D14</f>
        <v>3.0277904866</v>
      </c>
    </row>
    <row r="14">
      <c r="B14" s="13" t="inlineStr">
        <is>
          <t>Interest coverage (x)</t>
        </is>
      </c>
      <c r="C14" s="39">
        <f>Inputs!C13/Inputs!C15</f>
        <v>4.6502347418</v>
      </c>
      <c r="D14" s="39">
        <f>Inputs!D13/Inputs!D15</f>
        <v>4.3105376951</v>
      </c>
      <c r="E14" s="39">
        <f>Inputs!E13/Inputs!E15</f>
        <v>4.6113042269</v>
      </c>
      <c r="F14" s="39">
        <f>Projections!C6/Projections!C10</f>
        <v>5.4043685843</v>
      </c>
      <c r="G14" s="39">
        <f>Projections!D6/Projections!D10</f>
        <v>5.8976546621</v>
      </c>
    </row>
    <row r="15">
      <c r="B15" s="13" t="inlineStr">
        <is>
          <t>GCA/Total debt (x)</t>
        </is>
      </c>
      <c r="C15" s="39">
        <f>(Inputs!C16+Inputs!C14)/Inputs!C17</f>
        <v>0.282907508</v>
      </c>
      <c r="D15" s="39">
        <f>(Inputs!D16+Inputs!D14)/Inputs!D17</f>
        <v>0.2808409038</v>
      </c>
      <c r="E15" s="39">
        <f>(Inputs!E16+Inputs!E14)/Inputs!E17</f>
        <v>0.3053487067</v>
      </c>
      <c r="F15" s="39">
        <f>Projections!C14/Projections!C9</f>
        <v>0.299329006</v>
      </c>
      <c r="G15" s="39">
        <f>Projections!D14/Projections!D9</f>
        <v>0.3302738431</v>
      </c>
    </row>
    <row r="16">
      <c r="B16" s="13" t="inlineStr">
        <is>
          <t>Current ratio (x)</t>
        </is>
      </c>
      <c r="C16" s="39">
        <f>Inputs!C21/Inputs!C22</f>
        <v>1.1830373433</v>
      </c>
      <c r="D16" s="39">
        <f>Inputs!D21/Inputs!D22</f>
        <v>1.1003510844</v>
      </c>
      <c r="E16" s="39">
        <f>Inputs!E21/Inputs!E22</f>
        <v>1.0979115166</v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>250616.0</v>
      </c>
      <c r="D17" s="37">
        <f>Inputs!D17-Inputs!D18</f>
        <v>248276.0</v>
      </c>
      <c r="E17" s="37">
        <f>Inputs!E17-Inputs!E18</f>
        <v>252810.0</v>
      </c>
      <c r="F17" s="37">
        <f>Projections!C9-Projections!C17</f>
        <v>261752.5896478063</v>
      </c>
      <c r="G17" s="37">
        <f>Projections!D9-Projections!D17</f>
        <v>252817.5625388047</v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>4.6113042269</v>
      </c>
      <c r="D6" s="40">
        <f>Ratios!F14</f>
        <v>5.4043685843</v>
      </c>
      <c r="E6" s="39">
        <f>AVERAGE(C6:D6)</f>
        <v>5.0078364056</v>
      </c>
      <c r="F6" s="23">
        <f>IF(Ref_Bands!$B$5="higher",6-COUNTIF(Ref_Bands!$C$5:$G$5,"&lt;="&amp;E6),1+COUNTIF(Ref_Bands!$C$5:$G$5,"&lt;"&amp;E6))</f>
        <v>2.0</v>
      </c>
      <c r="G6" s="24">
        <f>Ref_Bands!$H$5</f>
        <v>0.25</v>
      </c>
      <c r="H6" s="25">
        <f>F6*G6</f>
        <v>0.5</v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>0.4627771751</v>
      </c>
      <c r="D7" s="40">
        <f>Ratios!F10</f>
        <v>0.4255362056</v>
      </c>
      <c r="E7" s="39">
        <f>AVERAGE(C7:D7)</f>
        <v>0.4441566904</v>
      </c>
      <c r="F7" s="23">
        <f>IF(Ref_Bands!$B$6="higher",6-COUNTIF(Ref_Bands!$C$6:$G$6,"&lt;="&amp;E7),1+COUNTIF(Ref_Bands!$C$6:$G$6,"&lt;"&amp;E7))</f>
        <v>1.0</v>
      </c>
      <c r="G7" s="24">
        <f>Ref_Bands!$H$6</f>
        <v>0.2</v>
      </c>
      <c r="H7" s="25">
        <f>F7*G7</f>
        <v>0.2</v>
      </c>
    </row>
    <row r="8">
      <c r="B8" s="13" t="inlineStr">
        <is>
          <t>Total debt/EBITDA (x)</t>
        </is>
      </c>
      <c r="C8" s="40">
        <f>Ratios!E12</f>
        <v>2.5253609532</v>
      </c>
      <c r="D8" s="40">
        <f>Ratios!F12</f>
        <v>2.3014675812</v>
      </c>
      <c r="E8" s="39">
        <f>AVERAGE(C8:D8)</f>
        <v>2.4134142672</v>
      </c>
      <c r="F8" s="23">
        <f>IF(Ref_Bands!$B$7="higher",6-COUNTIF(Ref_Bands!$C$7:$G$7,"&lt;="&amp;E8),1+COUNTIF(Ref_Bands!$C$7:$G$7,"&lt;"&amp;E8))</f>
        <v>2.0</v>
      </c>
      <c r="G8" s="24">
        <f>Ref_Bands!$H$7</f>
        <v>0.2</v>
      </c>
      <c r="H8" s="25">
        <f>F8*G8</f>
        <v>0.4</v>
      </c>
    </row>
    <row r="9">
      <c r="B9" s="13" t="inlineStr">
        <is>
          <t>EBITDA margin (fraction)</t>
        </is>
      </c>
      <c r="C9" s="41">
        <f>Ratios!E7</f>
        <v>0.1849880308</v>
      </c>
      <c r="D9" s="41">
        <f>Ratios!F7</f>
        <v>0.1858</v>
      </c>
      <c r="E9" s="38">
        <f>AVERAGE(C9:D9)</f>
        <v>0.1853940154</v>
      </c>
      <c r="F9" s="23">
        <f>IF(Ref_Bands!$B$8="higher",6-COUNTIF(Ref_Bands!$C$8:$G$8,"&lt;="&amp;E9),1+COUNTIF(Ref_Bands!$C$8:$G$8,"&lt;"&amp;E9))</f>
        <v>2.0</v>
      </c>
      <c r="G9" s="24">
        <f>Ref_Bands!$H$8</f>
        <v>0.15</v>
      </c>
      <c r="H9" s="25">
        <f>F9*G9</f>
        <v>0.3</v>
      </c>
    </row>
    <row r="10">
      <c r="B10" s="13" t="inlineStr">
        <is>
          <t>GCA/Total debt (x)</t>
        </is>
      </c>
      <c r="C10" s="40">
        <f>Ratios!E15</f>
        <v>0.3053487067</v>
      </c>
      <c r="D10" s="40">
        <f>Ratios!F15</f>
        <v>0.299329006</v>
      </c>
      <c r="E10" s="39">
        <f>AVERAGE(C10:D10)</f>
        <v>0.3023388564</v>
      </c>
      <c r="F10" s="23">
        <f>IF(Ref_Bands!$B$9="higher",6-COUNTIF(Ref_Bands!$C$9:$G$9,"&lt;="&amp;E10),1+COUNTIF(Ref_Bands!$C$9:$G$9,"&lt;"&amp;E10))</f>
        <v>2.0</v>
      </c>
      <c r="G10" s="24">
        <f>Ref_Bands!$H$9</f>
        <v>0.12</v>
      </c>
      <c r="H10" s="25">
        <f>F10*G10</f>
        <v>0.24</v>
      </c>
    </row>
    <row r="11">
      <c r="B11" s="13" t="inlineStr">
        <is>
          <t>Current ratio (x)</t>
        </is>
      </c>
      <c r="C11" s="40">
        <f>Ratios!E16</f>
        <v>1.0979115166</v>
      </c>
      <c r="D11" s="40">
        <f>Ratios!E16</f>
        <v>1.0979115166</v>
      </c>
      <c r="E11" s="39">
        <f>AVERAGE(C11:D11)</f>
        <v>1.0979115166</v>
      </c>
      <c r="F11" s="23">
        <f>IF(Ref_Bands!$B$10="higher",6-COUNTIF(Ref_Bands!$C$10:$G$10,"&lt;="&amp;E11),1+COUNTIF(Ref_Bands!$C$10:$G$10,"&lt;"&amp;E11))</f>
        <v>4.0</v>
      </c>
      <c r="G11" s="24">
        <f>Ref_Bands!$H$10</f>
        <v>0.08</v>
      </c>
      <c r="H11" s="25">
        <f>F11*G11</f>
        <v>0.32</v>
      </c>
    </row>
    <row r="12">
      <c r="B12" s="5" t="inlineStr">
        <is>
          <t>Financial risk score</t>
        </is>
      </c>
      <c r="E12" s="27" t="inlineStr"/>
      <c r="F12" s="28">
        <f>SUM(H6:H11)/SUM(G6:G11)</f>
        <v>1.96</v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>3</v>
      </c>
      <c r="D17" s="24">
        <f>INDEX(Ref_Weights!$C$5:$C$26,MATCH(Inputs!$C$6,Ref_Weights!$A$5:$A$26,0))</f>
        <v>0.2</v>
      </c>
      <c r="E17" s="25">
        <f>C17*D17</f>
        <v>0.6</v>
      </c>
    </row>
    <row r="18">
      <c r="B18" s="13" t="inlineStr">
        <is>
          <t>Business risk / market position / franchise</t>
        </is>
      </c>
      <c r="C18" s="25">
        <f>Inputs!C40</f>
        <v>1</v>
      </c>
      <c r="D18" s="24">
        <f>INDEX(Ref_Weights!$D$5:$D$26,MATCH(Inputs!$C$6,Ref_Weights!$A$5:$A$26,0))</f>
        <v>0.2</v>
      </c>
      <c r="E18" s="25">
        <f>C18*D18</f>
        <v>0.2</v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>1.96</v>
      </c>
      <c r="D19" s="24">
        <f>INDEX(Ref_Weights!$E$5:$E$26,MATCH(Inputs!$C$6,Ref_Weights!$A$5:$A$26,0))</f>
        <v>0.45</v>
      </c>
      <c r="E19" s="25">
        <f>C19*D19</f>
        <v>0.882</v>
      </c>
    </row>
    <row r="20">
      <c r="B20" s="13" t="inlineStr">
        <is>
          <t>Management &amp; governance</t>
        </is>
      </c>
      <c r="C20" s="25">
        <f>Inputs!C41</f>
        <v>2</v>
      </c>
      <c r="D20" s="24">
        <f>INDEX(Ref_Weights!$F$5:$F$26,MATCH(Inputs!$C$6,Ref_Weights!$A$5:$A$26,0))</f>
        <v>0.15</v>
      </c>
      <c r="E20" s="25">
        <f>C20*D20</f>
        <v>0.3</v>
      </c>
    </row>
    <row r="22">
      <c r="B22" s="5" t="inlineStr">
        <is>
          <t>Composite score (weighted)</t>
        </is>
      </c>
      <c r="E22" s="28">
        <f>SUM(E17:E20)/SUM(D17:D20)</f>
        <v>1.982</v>
      </c>
    </row>
    <row r="23">
      <c r="B23" s="13" t="inlineStr">
        <is>
          <t>Liquidity adjustment</t>
        </is>
      </c>
      <c r="E23" s="24">
        <f>INDEX(Ref_Scales!$F$5:$F$9,MATCH(Inputs!$C$43,Ref_Scales!$E$5:$E$9,0))</f>
        <v>-0.25</v>
      </c>
    </row>
    <row r="24">
      <c r="B24" s="5" t="inlineStr">
        <is>
          <t>Adjusted composite (1 = best, 6 = worst)</t>
        </is>
      </c>
      <c r="E24" s="28">
        <f>MIN(6,MAX(1,E22+E23))</f>
        <v>1.732</v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>0.16</v>
      </c>
      <c r="D29" s="41">
        <f>Inputs!D49</f>
        <v>0.158</v>
      </c>
      <c r="E29" s="38">
        <f>AVERAGE(C29:D29)</f>
        <v>0.159</v>
      </c>
      <c r="F29" s="23">
        <f>IF(Ref_Bands_Fin!$B$5="higher",6-COUNTIF(Ref_Bands_Fin!$C$5:$G$5,"&lt;="&amp;E29),1+COUNTIF(Ref_Bands_Fin!$C$5:$G$5,"&lt;"&amp;E29))</f>
        <v>3.0</v>
      </c>
      <c r="G29" s="24">
        <f>Ref_Bands_Fin!$H$5</f>
        <v>0.22</v>
      </c>
      <c r="H29" s="25">
        <f>F29*G29</f>
        <v>0.66</v>
      </c>
    </row>
    <row r="30">
      <c r="B30" s="13" t="inlineStr">
        <is>
          <t>Gross NPA (%)</t>
        </is>
      </c>
      <c r="C30" s="41">
        <f>Inputs!C50</f>
        <v>0.025</v>
      </c>
      <c r="D30" s="41">
        <f>Inputs!D50</f>
        <v>0.022</v>
      </c>
      <c r="E30" s="38">
        <f>AVERAGE(C30:D30)</f>
        <v>0.0235</v>
      </c>
      <c r="F30" s="23">
        <f>IF(Ref_Bands_Fin!$B$6="higher",6-COUNTIF(Ref_Bands_Fin!$C$6:$G$6,"&lt;="&amp;E30),1+COUNTIF(Ref_Bands_Fin!$C$6:$G$6,"&lt;"&amp;E30))</f>
        <v>3.0</v>
      </c>
      <c r="G30" s="24">
        <f>Ref_Bands_Fin!$H$6</f>
        <v>0.18</v>
      </c>
      <c r="H30" s="25">
        <f>F30*G30</f>
        <v>0.54</v>
      </c>
    </row>
    <row r="31">
      <c r="B31" s="13" t="inlineStr">
        <is>
          <t>Net NPA (%)</t>
        </is>
      </c>
      <c r="C31" s="41">
        <f>Inputs!C51</f>
        <v>0.006</v>
      </c>
      <c r="D31" s="41">
        <f>Inputs!D51</f>
        <v>0.005</v>
      </c>
      <c r="E31" s="38">
        <f>AVERAGE(C31:D31)</f>
        <v>0.0055</v>
      </c>
      <c r="F31" s="23">
        <f>IF(Ref_Bands_Fin!$B$7="higher",6-COUNTIF(Ref_Bands_Fin!$C$7:$G$7,"&lt;="&amp;E31),1+COUNTIF(Ref_Bands_Fin!$C$7:$G$7,"&lt;"&amp;E31))</f>
        <v>2.0</v>
      </c>
      <c r="G31" s="24">
        <f>Ref_Bands_Fin!$H$7</f>
        <v>0.15</v>
      </c>
      <c r="H31" s="25">
        <f>F31*G31</f>
        <v>0.3</v>
      </c>
    </row>
    <row r="32">
      <c r="B32" s="13" t="inlineStr">
        <is>
          <t>Return on assets - RoA (%)</t>
        </is>
      </c>
      <c r="C32" s="41">
        <f>Inputs!C52</f>
        <v>0.013</v>
      </c>
      <c r="D32" s="41">
        <f>Inputs!D52</f>
        <v>0.014</v>
      </c>
      <c r="E32" s="38">
        <f>AVERAGE(C32:D32)</f>
        <v>0.0135</v>
      </c>
      <c r="F32" s="23">
        <f>IF(Ref_Bands_Fin!$B$8="higher",6-COUNTIF(Ref_Bands_Fin!$C$8:$G$8,"&lt;="&amp;E32),1+COUNTIF(Ref_Bands_Fin!$C$8:$G$8,"&lt;"&amp;E32))</f>
        <v>3.0</v>
      </c>
      <c r="G32" s="24">
        <f>Ref_Bands_Fin!$H$8</f>
        <v>0.2</v>
      </c>
      <c r="H32" s="25">
        <f>F32*G32</f>
        <v>0.6</v>
      </c>
    </row>
    <row r="33">
      <c r="B33" s="13" t="inlineStr">
        <is>
          <t>Net interest margin - NIM (%)</t>
        </is>
      </c>
      <c r="C33" s="41">
        <f>Inputs!C53</f>
        <v>0.033</v>
      </c>
      <c r="D33" s="41">
        <f>Inputs!D53</f>
        <v>0.033</v>
      </c>
      <c r="E33" s="38">
        <f>AVERAGE(C33:D33)</f>
        <v>0.033</v>
      </c>
      <c r="F33" s="23">
        <f>IF(Ref_Bands_Fin!$B$9="higher",6-COUNTIF(Ref_Bands_Fin!$C$9:$G$9,"&lt;="&amp;E33),1+COUNTIF(Ref_Bands_Fin!$C$9:$G$9,"&lt;"&amp;E33))</f>
        <v>3.0</v>
      </c>
      <c r="G33" s="24">
        <f>Ref_Bands_Fin!$H$9</f>
        <v>0.13</v>
      </c>
      <c r="H33" s="25">
        <f>F33*G33</f>
        <v>0.39</v>
      </c>
    </row>
    <row r="34">
      <c r="B34" s="13" t="inlineStr">
        <is>
          <t>Cost-to-income (%)</t>
        </is>
      </c>
      <c r="C34" s="41">
        <f>Inputs!C54</f>
        <v>0.46</v>
      </c>
      <c r="D34" s="41">
        <f>Inputs!D54</f>
        <v>0.45</v>
      </c>
      <c r="E34" s="38">
        <f>AVERAGE(C34:D34)</f>
        <v>0.455</v>
      </c>
      <c r="F34" s="23">
        <f>IF(Ref_Bands_Fin!$B$10="higher",6-COUNTIF(Ref_Bands_Fin!$C$10:$G$10,"&lt;="&amp;E34),1+COUNTIF(Ref_Bands_Fin!$C$10:$G$10,"&lt;"&amp;E34))</f>
        <v>3.0</v>
      </c>
      <c r="G34" s="24">
        <f>Ref_Bands_Fin!$H$10</f>
        <v>0.12</v>
      </c>
      <c r="H34" s="25">
        <f>F34*G34</f>
        <v>0.36</v>
      </c>
    </row>
    <row r="35">
      <c r="B35" s="5" t="inlineStr">
        <is>
          <t>Financial-sector risk score</t>
        </is>
      </c>
      <c r="F35" s="28">
        <f>SUM(H29:H34)/SUM(G29:G34)</f>
        <v>2.85</v>
      </c>
    </row>
    <row r="37">
      <c r="B37" s="67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>1</v>
      </c>
    </row>
    <row r="40">
      <c r="B40" t="inlineStr">
        <is>
          <t>Financial risk score (1-6)</t>
        </is>
      </c>
      <c r="C40">
        <f>C19</f>
        <v>1.96</v>
      </c>
    </row>
    <row r="41">
      <c r="B41" t="inlineStr">
        <is>
          <t>Business weaker than financial by</t>
        </is>
      </c>
      <c r="C41">
        <f>C39-C40</f>
        <v>-0.96</v>
      </c>
    </row>
    <row r="42">
      <c r="B42" t="inlineStr">
        <is>
          <t>GATE</t>
        </is>
      </c>
      <c r="C42" t="str">
        <f>IF(C41&gt;=2,"YES - set a ceiling in Inputs!C69 or state in Inputs!D69 why none applies","No - business and financial risk agree within one band")</f>
        <v>No - business and financial risk agree within one band</v>
      </c>
    </row>
    <row r="43">
      <c r="B43" t="inlineStr">
        <is>
          <t>Ceiling grade entered (Inputs!C69)</t>
        </is>
      </c>
      <c r="C43">
        <f>Inputs!C69</f>
        <v>0</v>
      </c>
      <c r="D43">
        <f>Inputs!D69</f>
        <v>0</v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 t="str">
        <f>C36</f>
        <v>Crisil AAA/Stable</v>
      </c>
    </row>
    <row r="4">
      <c r="B4" s="19" t="inlineStr">
        <is>
          <t>Short-term</t>
        </is>
      </c>
      <c r="C4" s="53" t="str">
        <f>C37</f>
        <v>Crisil A1+</v>
      </c>
    </row>
    <row r="5">
      <c r="B5" t="inlineStr">
        <is>
          <t>Combined</t>
        </is>
      </c>
      <c r="C5" s="54" t="str">
        <f>C38</f>
        <v>Crisil AAA/Stable / Crisil A1+</v>
      </c>
    </row>
    <row r="6">
      <c r="B6" s="55" t="str">
        <f>"Issuer: "&amp;Inputs!C4&amp;"   |   Agency: "&amp;Inputs!C5&amp;"   |   Sector: "&amp;Inputs!C6</f>
        <v>Issuer: Reliance Industries Limited   |   Agency: CRISIL   |   Sector: Generic corporate</v>
      </c>
      <c r="C6" s="25" t="n"/>
      <c r="E6" s="13" t="inlineStr">
        <is>
          <t>Sector type</t>
        </is>
      </c>
      <c r="F6" s="13" t="str">
        <f>INDEX(Ref_Weights!$H$5:$H$26,MATCH(Inputs!$C$6,Ref_Weights!$A$5:$A$26,0))</f>
        <v>Corporate</v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>1.732</v>
      </c>
    </row>
    <row r="11">
      <c r="B11" s="13" t="inlineStr">
        <is>
          <t>Scale index before notches (0 = AAA ... 19 = D)</t>
        </is>
      </c>
      <c r="C11" s="23">
        <f>MIN(19,MAX(0,ROUND(16*((C10-1)/5)^1.4,0)))</f>
        <v>1.0</v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>0</v>
      </c>
    </row>
    <row r="13">
      <c r="B13" s="5" t="inlineStr">
        <is>
          <t>Index after support notches</t>
        </is>
      </c>
      <c r="C13" s="29">
        <f>MIN(19,MAX(0,C11-C12))</f>
        <v>1.0</v>
      </c>
    </row>
    <row r="14">
      <c r="B14" t="inlineStr">
        <is>
          <t>Hard cap tested</t>
        </is>
      </c>
      <c r="C14" t="str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>None</v>
      </c>
      <c r="D14" s="59" t="str">
        <f>IF(Inputs!C67="N",Inputs!D67,"(cap applies - not disapplied)")</f>
        <v>(cap applies - not disapplied)</v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>1.0</v>
      </c>
    </row>
    <row r="16">
      <c r="B16" s="10" t="inlineStr">
        <is>
          <t>Anchor long-term grade</t>
        </is>
      </c>
      <c r="C16" t="str">
        <f>INDEX(Ref_Scales!$A$5:$A$24,C15+1)</f>
        <v>AA+</v>
      </c>
    </row>
    <row r="17">
      <c r="B17" s="13" t="inlineStr">
        <is>
          <t>Anchor short-term grade</t>
        </is>
      </c>
      <c r="C17" s="29" t="str">
        <f>IF(OR(Inputs!$C$43="Superior",Inputs!$C$43="Strong"),INDEX(Ref_Scales!$C$5:$C$24,C15+1),INDEX(Ref_Scales!$B$5:$B$24,C15+1))</f>
        <v>A1+</v>
      </c>
    </row>
    <row r="18">
      <c r="B18" s="13" t="inlineStr">
        <is>
          <t>Anchor line  (a SCREEN, not the rating)</t>
        </is>
      </c>
      <c r="C18" s="60" t="str">
        <f>C16&amp;" / "&amp;C17</f>
        <v>AA+ / A1+</v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>0</v>
      </c>
      <c r="D21" s="46">
        <f>Inputs!D60</f>
        <v>0</v>
      </c>
    </row>
    <row r="22">
      <c r="B22" s="10" t="inlineStr">
        <is>
          <t>Business / franchise strength beyond the financial composite</t>
        </is>
      </c>
      <c r="C22">
        <f>Inputs!C61</f>
        <v>1</v>
      </c>
      <c r="D22" s="46" t="str">
        <f>Inputs!D61</f>
        <v>+1 Business / franchise strength beyond the financial composite (Committee, 10-Oct-2026): the composite scores a conglomerate as one 'Generic corporate' and cannot see diversity - no segment above 39.5% of FY2026 segment EBITDA, consumer share 46.7% -&gt; 53.4% (FY2024-26), and the FY2025 O2C fall (-7,401) more than offset by Digital and Retail (+10,312). Liquidity and flexibility are beyond the template's bands: cash and marketable securities Rs 2,49,704 crore = 4.85x debt due within a year plus CP; market cap ~Rs 15.8 lakh crore = 3.2x adjusted debt. Base case: adjusted debt/PBDIT 2.30x FY2027 -&gt; 1.60x FY2031 with no new borrowing. Known template bias: under-rates AA+/AAA (back-test 18-Jul-2026). Not applied as a hard-cap disapplication - no cap binds.</v>
      </c>
    </row>
    <row r="23">
      <c r="B23" s="15" t="inlineStr">
        <is>
          <t>Parent / group support beyond the Step 12b notch</t>
        </is>
      </c>
      <c r="C23" s="15">
        <f>Inputs!C62</f>
        <v>0</v>
      </c>
      <c r="D23" s="62">
        <f>Inputs!D62</f>
        <v>0</v>
      </c>
    </row>
    <row r="24">
      <c r="B24" s="13" t="inlineStr">
        <is>
          <t>Peer benchmarking / calibration</t>
        </is>
      </c>
      <c r="C24" s="42">
        <f>Inputs!C63</f>
        <v>0</v>
      </c>
      <c r="D24" s="63">
        <f>Inputs!D63</f>
        <v>0</v>
      </c>
    </row>
    <row r="25">
      <c r="B25" s="13" t="inlineStr">
        <is>
          <t>Other (name it in the justification)</t>
        </is>
      </c>
      <c r="C25" s="42">
        <f>Inputs!C64</f>
        <v>0</v>
      </c>
      <c r="D25" s="63">
        <f>Inputs!D64</f>
        <v>0</v>
      </c>
    </row>
    <row r="26">
      <c r="B26" s="13" t="inlineStr">
        <is>
          <t>Total overlay notches (+ improves)</t>
        </is>
      </c>
      <c r="C26" s="64">
        <f>SUM(C21:C25)</f>
        <v>1.0</v>
      </c>
      <c r="D26" s="42" t="n"/>
    </row>
    <row r="27">
      <c r="B27" s="13" t="inlineStr">
        <is>
          <t>Index after overlay</t>
        </is>
      </c>
      <c r="C27" s="42">
        <f>MIN(19,MAX(0,C15-C26))</f>
        <v>0</v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 t="str">
        <f>IF(Inputs!C66="","(none)",Inputs!C66)</f>
        <v>(none)</v>
      </c>
      <c r="D30" s="66">
        <f>Inputs!D66</f>
        <v>0</v>
      </c>
    </row>
    <row r="31">
      <c r="B31" s="13" t="inlineStr">
        <is>
          <t>ASSIGNED INDEX</t>
        </is>
      </c>
      <c r="C31" s="64">
        <f>IF(Inputs!C66="",C27,Inputs!C66)</f>
        <v>0</v>
      </c>
      <c r="D31" s="42" t="n"/>
    </row>
    <row r="32">
      <c r="B32" t="inlineStr">
        <is>
          <t>Assigned long-term grade</t>
        </is>
      </c>
      <c r="C32" s="50" t="str">
        <f>INDEX(Ref_Scales!$A$5:$A$24,C31+1)</f>
        <v>AAA</v>
      </c>
    </row>
    <row r="33">
      <c r="B33" s="9" t="inlineStr">
        <is>
          <t>Assigned short-term grade</t>
        </is>
      </c>
      <c r="C33" t="str">
        <f>IF(OR(Inputs!$C$43="Superior",Inputs!$C$43="Strong"),INDEX(Ref_Scales!$C$5:$C$24,C31+1),INDEX(Ref_Scales!$B$5:$B$24,C31+1))</f>
        <v>A1+</v>
      </c>
    </row>
    <row r="34">
      <c r="B34" t="inlineStr">
        <is>
          <t>Divergence, anchor -&gt; assigned (notches)</t>
        </is>
      </c>
      <c r="C34">
        <f>C15-C31</f>
        <v>1.0</v>
      </c>
      <c r="D34" s="59" t="str">
        <f>IF(C34=0,"None - the anchor and the assigned rating agree.","COMPUTED, not typed. Stage 2 must carry a justification for every notch of this. The rationale quotes THIS number.")</f>
        <v>COMPUTED, not typed. Stage 2 must carry a justification for every notch of this. The rationale quotes THIS number.</v>
      </c>
    </row>
    <row r="36">
      <c r="B36" t="inlineStr">
        <is>
          <t>Assigned long-term line (agency house style)</t>
        </is>
      </c>
      <c r="C36" t="str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>Crisil AAA/Stable</v>
      </c>
    </row>
    <row r="37">
      <c r="B37" t="inlineStr">
        <is>
          <t>Assigned short-term line</t>
        </is>
      </c>
      <c r="C37" t="str">
        <f>IF(Inputs!C5="ICRA","[ICRA]"&amp;C33,IF(Inputs!C5="CRISIL","Crisil "&amp;C33,"CARE "&amp;C33))</f>
        <v>Crisil A1+</v>
      </c>
    </row>
    <row r="38">
      <c r="B38" t="inlineStr">
        <is>
          <t>Assigned combined</t>
        </is>
      </c>
      <c r="C38" t="str">
        <f>C36&amp;" / "&amp;C37</f>
        <v>Crisil AAA/Stable / Crisil A1+</v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>1163557.6475000002</v>
      </c>
      <c r="D42">
        <f>Projections!D5</f>
        <v>1247333.7981200004</v>
      </c>
    </row>
    <row r="43">
      <c r="B43" t="inlineStr">
        <is>
          <t>EBITDA</t>
        </is>
      </c>
      <c r="C43">
        <f>Projections!C6</f>
        <v>216189.0109055</v>
      </c>
      <c r="D43">
        <f>Projections!D6</f>
        <v>233500.8870080641</v>
      </c>
    </row>
    <row r="44">
      <c r="B44" t="inlineStr">
        <is>
          <t>PAT</t>
        </is>
      </c>
      <c r="C44">
        <f>Projections!C13</f>
        <v>91243.745597235</v>
      </c>
      <c r="D44">
        <f>Projections!D13</f>
        <v>104889.9597962093</v>
      </c>
    </row>
    <row r="45">
      <c r="B45" t="inlineStr">
        <is>
          <t>Gross cash accruals</t>
        </is>
      </c>
      <c r="C45">
        <f>Projections!C14</f>
        <v>148931.745597235</v>
      </c>
      <c r="D45">
        <f>Projections!D14</f>
        <v>162577.9597962094</v>
      </c>
    </row>
    <row r="46">
      <c r="B46" t="inlineStr">
        <is>
          <t>Free cash flow</t>
        </is>
      </c>
      <c r="C46">
        <f>Projections!C18</f>
        <v>-8942.5896478063</v>
      </c>
      <c r="D46">
        <f>Projections!D18</f>
        <v>8935.0271090017</v>
      </c>
    </row>
    <row r="47">
      <c r="B47" t="inlineStr">
        <is>
          <t>Interest coverage (x)</t>
        </is>
      </c>
      <c r="C47">
        <f>Ratios!F14</f>
        <v>5.4043685843</v>
      </c>
      <c r="D47">
        <f>Ratios!G14</f>
        <v>5.8976546621</v>
      </c>
    </row>
    <row r="48">
      <c r="B48" t="inlineStr">
        <is>
          <t>Gearing (x)</t>
        </is>
      </c>
      <c r="C48">
        <f>Ratios!F10</f>
        <v>0.4255362056</v>
      </c>
      <c r="D48">
        <f>Ratios!G10</f>
        <v>0.3889836678</v>
      </c>
    </row>
    <row r="49">
      <c r="B49" t="inlineStr">
        <is>
          <t>Net debt</t>
        </is>
      </c>
      <c r="C49">
        <f>Ratios!F17</f>
        <v>261752.5896478063</v>
      </c>
      <c r="D49">
        <f>Ratios!G17</f>
        <v>252817.5625388047</v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8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9" t="inlineStr">
        <is>
          <t>Assigned rating on this sheet (Stage 3, cells C36 / C37)</t>
        </is>
      </c>
      <c r="C56" s="70" t="inlineStr">
        <is>
          <t>Crisil AAA/Stable / Crisil A1+</t>
        </is>
      </c>
    </row>
    <row r="57">
      <c r="B57" s="69" t="inlineStr">
        <is>
          <t>Rating stated in the rationale</t>
        </is>
      </c>
      <c r="C57" s="70" t="inlineStr">
        <is>
          <t>Crisil AAA/Stable / Crisil A1+</t>
        </is>
      </c>
    </row>
    <row r="58">
      <c r="B58" s="69" t="inlineStr">
        <is>
          <t>Do they agree?</t>
        </is>
      </c>
      <c r="C58" s="70" t="inlineStr">
        <is>
          <t>YES</t>
        </is>
      </c>
    </row>
    <row r="59">
      <c r="B59" s="69" t="n"/>
      <c r="C59" s="70" t="inlineStr"/>
    </row>
    <row r="60">
      <c r="B60" s="69" t="inlineStr">
        <is>
          <t>Financial anchor (Stage 1, cell C16)</t>
        </is>
      </c>
      <c r="C60" s="70" t="inlineStr">
        <is>
          <t>AA+</t>
        </is>
      </c>
    </row>
    <row r="61">
      <c r="B61" s="69" t="inlineStr">
        <is>
          <t>Hard cap tested</t>
        </is>
      </c>
      <c r="C61" s="70" t="inlineStr">
        <is>
          <t>None</t>
        </is>
      </c>
    </row>
    <row r="62">
      <c r="B62" s="69" t="inlineStr">
        <is>
          <t>Divergence anchor -&gt; assigned, in notches (computed, C34)</t>
        </is>
      </c>
      <c r="C62" s="70" t="n">
        <v>1</v>
      </c>
    </row>
    <row r="63">
      <c r="B63" s="71" t="n"/>
    </row>
    <row r="64">
      <c r="B64" s="71" t="inlineStr">
        <is>
          <t>The anchor is a SCREEN computed from the audited financials alone. Every notch between it and the assigned</t>
        </is>
      </c>
    </row>
    <row r="65">
      <c r="B65" s="71" t="inlineStr">
        <is>
          <t>rating is itemised and justified in Stage 2 on this sheet - not asserted in prose. The notch count above is</t>
        </is>
      </c>
    </row>
    <row r="66">
      <c r="B66" s="71" t="inlineStr">
        <is>
          <t>COMPUTED by the workbook; it is never typed, because the first two hand-typed notch counts in this project</t>
        </is>
      </c>
    </row>
    <row r="67">
      <c r="B67" s="71" t="inlineStr">
        <is>
          <t>were both wrong (Godrej Properties said 9 where the chain gives 3 after the sector correction; Vodafone Idea</t>
        </is>
      </c>
    </row>
    <row r="68">
      <c r="B68" s="71" t="inlineStr">
        <is>
          <t>said 12 where it was 9).</t>
        </is>
      </c>
    </row>
    <row r="69">
      <c r="B69" s="71" t="n"/>
    </row>
    <row r="70">
      <c r="B70" s="71" t="inlineStr">
        <is>
          <t>The divergence on this case is argued in Reliance Industries Limited_10 Oct 2026_CRISIL_Rating Rationale.md and the workpaper.</t>
        </is>
      </c>
    </row>
    <row r="71">
      <c r="B71" s="71" t="inlineStr">
        <is>
          <t>The rating decision belongs to the Rating Committee (Step 17c), not to this workbook.</t>
        </is>
      </c>
    </row>
    <row r="72">
      <c r="B72" s="71" t="n"/>
    </row>
    <row r="73">
      <c r="B73" s="71" t="inlineStr">
        <is>
          <t>CONVENTION USED - CRISIL ONLY. This workbook carries no other agency's definitions.</t>
        </is>
      </c>
    </row>
    <row r="74">
      <c r="B74" s="71" t="inlineStr">
        <is>
          <t>Operating-profit measure: EBITDA. PBDIT / EBITDA RETAINS recurring non-operating income rather than stripping it. Gearing uses adjusted total debt over adjusted networth, both adjusted for revaluation reserves, miscellaneous expenditure not written off, and off-balance-sheet items assessed for devolvement.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n"/>
      <c r="I5" s="13" t="n"/>
      <c r="J5" s="13" t="n"/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CRISIL.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  <row r="26">
      <c r="A26" t="inlineStr">
        <is>
          <t>Source: SEBI-standard symbols; ST mapping = empirical pairs across 655 ICRA reference reports (ICRA KB 04). AAA..AA- -&gt; A1+ always; overlap bands lifted one level when liquidity is Superior/Strong.  Extended 13-Sep-2026 to the full 20-point long-term scale plus D: the +/- modifiers run from AA down to C, so C+, C and C- all exist (CRISIL basics-of-ratings.md Section I; SEBI-standard symbols, same for all three agencies). Indices 0-15 are unchanged, so index-expressed hard caps keep their meaning.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>1.0</v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>1.0</v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>1.0</v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>1.0</v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>1.0</v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>1.0</v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>1.0</v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>1.0</v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>1.0</v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>1.0</v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>1.0</v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>1.0</v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>1.0</v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>1.0</v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>1.0</v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>1.0</v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>1.0</v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>1.0</v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>1.0</v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>1.0</v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>1.0</v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>1.0</v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CRISIL's three risk profiles - market position is the ability to sell PROFITABLY and control price; risk appetite is explicit.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2026-10-11T12:49:52Z</dcterms:modified>
</cp:coreProperties>
</file>