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  <sheet xmlns:r="http://schemas.openxmlformats.org/officeDocument/2006/relationships" name="Ref_Qualitativ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b val="1"/>
      <color rgb="001B2A4A"/>
      <sz val="12"/>
    </font>
    <font>
      <i val="1"/>
      <color rgb="006B7891"/>
      <sz val="9"/>
    </font>
    <font>
      <sz val="10"/>
    </font>
    <font>
      <b val="1"/>
      <color rgb="001B2A4A"/>
      <sz val="10"/>
    </font>
    <font>
      <b val="1"/>
      <color rgb="009B2226"/>
      <sz val="10"/>
    </font>
    <font>
      <i val="1"/>
      <color rgb="00555555"/>
      <sz val="9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2" borderId="0" pivotButton="0" quotePrefix="0" xfId="0"/>
    <xf numFmtId="0" fontId="13" fillId="0" borderId="0" pivotButton="0" quotePrefix="0" xfId="0"/>
    <xf numFmtId="0" fontId="0" fillId="5" borderId="0" pivotButton="0" quotePrefix="0" xfId="0"/>
    <xf numFmtId="0" fontId="14" fillId="6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0" borderId="1" pivotButton="0" quotePrefix="0" xfId="0"/>
    <xf numFmtId="0" fontId="17" fillId="0" borderId="1" applyAlignment="1" pivotButton="0" quotePrefix="0" xfId="0">
      <alignment vertical="top" wrapText="1"/>
    </xf>
    <xf numFmtId="0" fontId="14" fillId="2" borderId="1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vertical="top" wrapText="1"/>
    </xf>
    <xf numFmtId="0" fontId="17" fillId="4" borderId="1" pivotButton="0" quotePrefix="0" xfId="0"/>
    <xf numFmtId="0" fontId="14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13" fillId="0" borderId="1" pivotButton="0" quotePrefix="0" xfId="0"/>
    <xf numFmtId="0" fontId="14" fillId="6" borderId="1" pivotButton="0" quotePrefix="0" xfId="0"/>
    <xf numFmtId="166" fontId="8" fillId="0" borderId="1" applyAlignment="1" pivotButton="0" quotePrefix="0" xfId="0">
      <alignment vertical="top" wrapText="1"/>
    </xf>
    <xf numFmtId="0" fontId="16" fillId="5" borderId="0" applyAlignment="1" pivotButton="0" quotePrefix="0" xfId="0">
      <alignment vertical="top"/>
    </xf>
    <xf numFmtId="0" fontId="18" fillId="0" borderId="0" applyAlignment="1" pivotButton="0" quotePrefix="0" xfId="0">
      <alignment vertical="top"/>
    </xf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vertical="top"/>
    </xf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backtest</author>
  </authors>
  <commentList>
    <comment ref="C42" authorId="0" shapeId="0">
      <text>
        <t>Back-test: MUST be non-zero for PSU/sovereign or strong-parent strategic issuers - the neutral scorecard under-rates them by 2-3 notches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CRISIL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CRISIL/CRISIL/CRISIL published criteria. Calibrate against the methodology files before relying on output (e.g. CRISIL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(CRISIL: industry risk sets the sector median; CRISIL blocks A-E; CRISIL industry/business/financial/management). Editable - they are inputs, not published constants.</t>
        </is>
      </c>
    </row>
    <row r="20" ht="30" customHeight="1">
      <c r="B20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1" ht="30" customHeight="1">
      <c r="B21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Derived from an empirical corpus of published rationales and back-tested 18-Jul-2026 against 396 rated issuers. This is THIS PROJECT'S calibration and is NOT published by CRISIL.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DOMS Industries Limited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CRISIL</t>
        </is>
      </c>
    </row>
    <row r="6">
      <c r="B6" s="5" t="inlineStr">
        <is>
          <t>Sector</t>
        </is>
      </c>
      <c r="C6" s="6" t="inlineStr">
        <is>
          <t>FMCG / Consumer staples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12-Aug-2026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FY2024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1537.14</v>
      </c>
      <c r="D12" s="35" t="n">
        <v>1912.63</v>
      </c>
      <c r="E12" s="35" t="n">
        <v>2326.37</v>
      </c>
    </row>
    <row r="13">
      <c r="B13" s="13" t="inlineStr">
        <is>
          <t>EBITDA (OPBDIT / PBILDT)</t>
        </is>
      </c>
      <c r="C13" s="35" t="n">
        <v>272.71</v>
      </c>
      <c r="D13" s="35" t="n">
        <v>348.45</v>
      </c>
      <c r="E13" s="35" t="n">
        <v>402.59</v>
      </c>
    </row>
    <row r="14">
      <c r="B14" s="13" t="inlineStr">
        <is>
          <t>Depreciation &amp; amortisation</t>
        </is>
      </c>
      <c r="C14" s="35" t="n">
        <v>51.24</v>
      </c>
      <c r="D14" s="35" t="n">
        <v>69.18000000000001</v>
      </c>
      <c r="E14" s="35" t="n">
        <v>88.11</v>
      </c>
    </row>
    <row r="15">
      <c r="B15" s="13" t="inlineStr">
        <is>
          <t>Interest expense</t>
        </is>
      </c>
      <c r="C15" s="35" t="n">
        <v>17.12</v>
      </c>
      <c r="D15" s="35" t="n">
        <v>15.04</v>
      </c>
      <c r="E15" s="35" t="n">
        <v>10.8</v>
      </c>
    </row>
    <row r="16">
      <c r="B16" s="13" t="inlineStr">
        <is>
          <t>Profit after tax (PAT)</t>
        </is>
      </c>
      <c r="C16" s="35" t="n">
        <v>153.14</v>
      </c>
      <c r="D16" s="35" t="n">
        <v>202.34</v>
      </c>
      <c r="E16" s="35" t="n">
        <v>230.18</v>
      </c>
    </row>
    <row r="17">
      <c r="B17" s="13" t="inlineStr">
        <is>
          <t>Total debt (incl. lease liabilities)</t>
        </is>
      </c>
      <c r="C17" s="35" t="n">
        <v>171.91</v>
      </c>
      <c r="D17" s="35" t="n">
        <v>211.77</v>
      </c>
      <c r="E17" s="35" t="n">
        <v>141.26</v>
      </c>
    </row>
    <row r="18">
      <c r="B18" s="13" t="inlineStr">
        <is>
          <t>Cash &amp; liquid investments</t>
        </is>
      </c>
      <c r="C18" s="35" t="n">
        <v>305.9</v>
      </c>
      <c r="D18" s="35" t="n">
        <v>225.37</v>
      </c>
      <c r="E18" s="35" t="n">
        <v>61.79</v>
      </c>
    </row>
    <row r="19">
      <c r="B19" s="13" t="inlineStr">
        <is>
          <t>Tangible net worth</t>
        </is>
      </c>
      <c r="C19" s="35" t="n">
        <v>814.4</v>
      </c>
      <c r="D19" s="35" t="n">
        <v>1002.81</v>
      </c>
      <c r="E19" s="35" t="n">
        <v>1219.73</v>
      </c>
    </row>
    <row r="20">
      <c r="B20" s="13" t="inlineStr">
        <is>
          <t>Total outside liabilities</t>
        </is>
      </c>
      <c r="C20" s="35" t="n">
        <v>347.76</v>
      </c>
      <c r="D20" s="35" t="n">
        <v>437.12</v>
      </c>
      <c r="E20" s="35" t="n">
        <v>409.83</v>
      </c>
    </row>
    <row r="21">
      <c r="B21" s="13" t="inlineStr">
        <is>
          <t>Current assets</t>
        </is>
      </c>
      <c r="C21" s="35" t="n">
        <v>616.48</v>
      </c>
      <c r="D21" s="35" t="n">
        <v>688.83</v>
      </c>
      <c r="E21" s="35" t="n">
        <v>639.34</v>
      </c>
    </row>
    <row r="22">
      <c r="B22" s="13" t="inlineStr">
        <is>
          <t>Current liabilities</t>
        </is>
      </c>
      <c r="C22" s="35" t="n">
        <v>207.8</v>
      </c>
      <c r="D22" s="35" t="n">
        <v>256.92</v>
      </c>
      <c r="E22" s="35" t="n">
        <v>293.98</v>
      </c>
    </row>
    <row r="23">
      <c r="B23" s="13" t="inlineStr">
        <is>
          <t>Capital expenditure</t>
        </is>
      </c>
      <c r="C23" s="35" t="n">
        <v>153.46</v>
      </c>
      <c r="D23" s="35" t="n">
        <v>213.27</v>
      </c>
      <c r="E23" s="35" t="n">
        <v>292.84</v>
      </c>
    </row>
    <row r="24">
      <c r="B24" s="13" t="inlineStr">
        <is>
          <t>Dividends paid</t>
        </is>
      </c>
      <c r="C24" s="35" t="n">
        <v>9.31</v>
      </c>
      <c r="D24" s="35" t="n">
        <v>15.17</v>
      </c>
      <c r="E24" s="35" t="n">
        <v>19.12</v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0.1898</v>
      </c>
      <c r="D29" s="36" t="n">
        <v>0.1803</v>
      </c>
    </row>
    <row r="30">
      <c r="B30" s="13" t="inlineStr">
        <is>
          <t>EBITDA margin (%)</t>
        </is>
      </c>
      <c r="C30" s="36" t="n">
        <v>0.14</v>
      </c>
      <c r="D30" s="36" t="n">
        <v>0.158</v>
      </c>
    </row>
    <row r="31">
      <c r="B31" s="13" t="inlineStr">
        <is>
          <t>Capital expenditure (Rs crore)</t>
        </is>
      </c>
      <c r="C31" s="35" t="n">
        <v>350</v>
      </c>
      <c r="D31" s="35" t="n">
        <v>250</v>
      </c>
    </row>
    <row r="32">
      <c r="B32" s="13" t="inlineStr">
        <is>
          <t>Net new debt + / (repayment) (Rs crore)</t>
        </is>
      </c>
      <c r="C32" s="35" t="n">
        <v>79</v>
      </c>
      <c r="D32" s="35" t="n">
        <v>0</v>
      </c>
    </row>
    <row r="33">
      <c r="B33" s="13" t="inlineStr">
        <is>
          <t>Average interest rate on debt (%)</t>
        </is>
      </c>
      <c r="C33" s="36" t="n">
        <v>0.065</v>
      </c>
      <c r="D33" s="36" t="n">
        <v>0.065</v>
      </c>
    </row>
    <row r="34">
      <c r="B34" s="13" t="inlineStr">
        <is>
          <t>Tax rate (%)</t>
        </is>
      </c>
      <c r="C34" s="36" t="n">
        <v>0.257</v>
      </c>
      <c r="D34" s="36" t="n">
        <v>0.257</v>
      </c>
    </row>
    <row r="35">
      <c r="B35" s="13" t="inlineStr">
        <is>
          <t>Dividend payout (% of PAT)</t>
        </is>
      </c>
      <c r="C35" s="36" t="n">
        <v>0.09</v>
      </c>
      <c r="D35" s="36" t="n">
        <v>0.09</v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n">
        <v>3</v>
      </c>
      <c r="F39" s="9" t="inlineStr">
        <is>
          <t>Leave blank to accept the sector's base score; enter 1-6 to override.</t>
        </is>
      </c>
    </row>
    <row r="40">
      <c r="B40" s="13" t="inlineStr">
        <is>
          <t>Business risk / market position score</t>
        </is>
      </c>
      <c r="C40" s="17" t="n">
        <v>2</v>
      </c>
      <c r="F40" s="9" t="inlineStr">
        <is>
          <t>Market share, brand/distribution, diversification, pricing power vs peers.</t>
        </is>
      </c>
    </row>
    <row r="41">
      <c r="B41" s="13" t="inlineStr">
        <is>
          <t>Management &amp; governance score</t>
        </is>
      </c>
      <c r="C41" s="17" t="n">
        <v>2</v>
      </c>
      <c r="F41" s="9" t="inlineStr">
        <is>
          <t>Track record, financial policy/risk appetite, governance, group linkages.</t>
        </is>
      </c>
    </row>
    <row r="42">
      <c r="B42" s="13" t="inlineStr">
        <is>
          <t>Parent/group support notches (+ = uplift, - = drag)</t>
        </is>
      </c>
      <c r="C42" s="17" t="n">
        <v>0</v>
      </c>
      <c r="F42" s="9" t="inlineStr">
        <is>
          <t>Per the agency's parent/group notching criteria; usually 0 to +/-3.</t>
        </is>
      </c>
    </row>
    <row r="43">
      <c r="B43" s="13" t="inlineStr">
        <is>
          <t>Liquidity descriptor</t>
        </is>
      </c>
      <c r="C43" s="6" t="inlineStr">
        <is>
          <t>Strong</t>
        </is>
      </c>
      <c r="F43" s="9" t="inlineStr">
        <is>
          <t>Superior/Strong lifts ST mapping in overlap bands and improves the composite (Ref_Scales).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0.16</v>
      </c>
      <c r="D49" s="36" t="n">
        <v>0.158</v>
      </c>
    </row>
    <row r="50">
      <c r="B50" s="13" t="inlineStr">
        <is>
          <t>Gross NPA (%)</t>
        </is>
      </c>
      <c r="C50" s="36" t="n">
        <v>0.025</v>
      </c>
      <c r="D50" s="36" t="n">
        <v>0.022</v>
      </c>
    </row>
    <row r="51">
      <c r="B51" s="13" t="inlineStr">
        <is>
          <t>Net NPA (%)</t>
        </is>
      </c>
      <c r="C51" s="36" t="n">
        <v>0.006</v>
      </c>
      <c r="D51" s="36" t="n">
        <v>0.005</v>
      </c>
    </row>
    <row r="52">
      <c r="B52" s="13" t="inlineStr">
        <is>
          <t>Return on assets - RoA (%)</t>
        </is>
      </c>
      <c r="C52" s="36" t="n">
        <v>0.013</v>
      </c>
      <c r="D52" s="36" t="n">
        <v>0.014</v>
      </c>
    </row>
    <row r="53">
      <c r="B53" s="13" t="inlineStr">
        <is>
          <t>Net interest margin - NIM (%)</t>
        </is>
      </c>
      <c r="C53" s="36" t="n">
        <v>0.033</v>
      </c>
      <c r="D53" s="36" t="n">
        <v>0.033</v>
      </c>
    </row>
    <row r="54">
      <c r="B54" s="13" t="inlineStr">
        <is>
          <t>Cost-to-income (%)</t>
        </is>
      </c>
      <c r="C54" s="36" t="n">
        <v>0.46</v>
      </c>
      <c r="D54" s="36" t="n">
        <v>0.45</v>
      </c>
    </row>
    <row r="55">
      <c r="B55" s="13" t="inlineStr">
        <is>
          <t>Total assets / AUM (Rs crore)</t>
        </is>
      </c>
      <c r="C55" s="35" t="n">
        <v>500000</v>
      </c>
      <c r="D55" s="35" t="n">
        <v>545000</v>
      </c>
    </row>
    <row r="58">
      <c r="B58" s="49" t="inlineStr">
        <is>
          <t>COMMITTEE OVERLAY (Step 17c) - the bridge from the financial anchor to the ASSIGNED rating</t>
        </is>
      </c>
    </row>
    <row r="59">
      <c r="B59" s="50" t="inlineStr">
        <is>
          <t>Adjustment</t>
        </is>
      </c>
      <c r="C59" s="50" t="inlineStr">
        <is>
          <t>Notches (+ improves)</t>
        </is>
      </c>
      <c r="D59" s="50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51" t="n">
        <v>0</v>
      </c>
      <c r="D60" s="51" t="inlineStr">
        <is>
          <t>No sector-metric adjustment.</t>
        </is>
      </c>
      <c r="F60" s="46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51" t="n">
        <v>0</v>
      </c>
      <c r="D61" s="51" t="inlineStr">
        <is>
          <t>No separate business-risk uplift beyond what is already reflected in the consistency adjustment below.</t>
        </is>
      </c>
      <c r="F61" s="46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51" t="n">
        <v>0</v>
      </c>
      <c r="D62" s="51" t="inlineStr">
        <is>
          <t>No incremental group-support notch beyond Step 12b.</t>
        </is>
      </c>
      <c r="F62" s="46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51" t="n">
        <v>-2</v>
      </c>
      <c r="D63" s="51" t="inlineStr">
        <is>
          <t>-2, a DOWNWARD consistency adjustment. This rationale's own disclaimer states: 'the company's own annual report discloses the outstanding CRISIL AA-/Stable rating, so that action was known before this view was formed' (workpaper Sec 0/9). The financial-only anchor (AA+) does not reflect this same-issuer, already-disclosed outstanding action; the assigned rating is held to it rather than to the higher anchor, since the anchor's own screening band is documented to be unreliable outside the A+...BBB- range and a same-issuer disclosed rating is stronger evidence than the screen.</t>
        </is>
      </c>
      <c r="F63" s="46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51" t="n">
        <v>0</v>
      </c>
      <c r="D64" s="51" t="inlineStr">
        <is>
          <t>None.</t>
        </is>
      </c>
      <c r="F64" s="46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51" t="inlineStr"/>
      <c r="D66" s="51" t="inlineStr"/>
      <c r="F66" s="46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51" t="inlineStr">
        <is>
          <t>Y</t>
        </is>
      </c>
      <c r="D67" s="51" t="inlineStr"/>
      <c r="F67" s="46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72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C69" t="inlineStr"/>
      <c r="D69" t="inlineStr"/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>
        <f>Inputs!E12*(1+Inputs!C29)</f>
        <v/>
      </c>
      <c r="D5" s="37">
        <f>C5*(1+Inputs!D29)</f>
        <v/>
      </c>
    </row>
    <row r="6">
      <c r="B6" s="13" t="inlineStr">
        <is>
          <t>EBITDA</t>
        </is>
      </c>
      <c r="C6" s="37">
        <f>C5*Inputs!C30</f>
        <v/>
      </c>
      <c r="D6" s="37">
        <f>D5*Inputs!D30</f>
        <v/>
      </c>
    </row>
    <row r="7">
      <c r="B7" s="13" t="inlineStr">
        <is>
          <t>Depreciation</t>
        </is>
      </c>
      <c r="C7" s="37">
        <f>Inputs!E14</f>
        <v/>
      </c>
      <c r="D7" s="37">
        <f>C7</f>
        <v/>
      </c>
    </row>
    <row r="8">
      <c r="B8" s="13" t="inlineStr">
        <is>
          <t>EBIT</t>
        </is>
      </c>
      <c r="C8" s="37">
        <f>C6-C7</f>
        <v/>
      </c>
      <c r="D8" s="37">
        <f>D6-D7</f>
        <v/>
      </c>
    </row>
    <row r="9">
      <c r="B9" s="13" t="inlineStr">
        <is>
          <t>Total debt (closing)</t>
        </is>
      </c>
      <c r="C9" s="37">
        <f>Inputs!E17+Inputs!C32</f>
        <v/>
      </c>
      <c r="D9" s="37">
        <f>C9+Inputs!D32</f>
        <v/>
      </c>
    </row>
    <row r="10">
      <c r="B10" s="13" t="inlineStr">
        <is>
          <t>Interest expense</t>
        </is>
      </c>
      <c r="C10" s="37">
        <f>AVERAGE(Inputs!E17,C9)*Inputs!C33</f>
        <v/>
      </c>
      <c r="D10" s="37">
        <f>AVERAGE(C9,D9)*Inputs!D33</f>
        <v/>
      </c>
    </row>
    <row r="11">
      <c r="B11" s="13" t="inlineStr">
        <is>
          <t>Profit before tax</t>
        </is>
      </c>
      <c r="C11" s="37">
        <f>C8-C10</f>
        <v/>
      </c>
      <c r="D11" s="37">
        <f>D8-D10</f>
        <v/>
      </c>
    </row>
    <row r="12">
      <c r="B12" s="13" t="inlineStr">
        <is>
          <t>Tax</t>
        </is>
      </c>
      <c r="C12" s="37">
        <f>MAX(C11,0)*Inputs!C34</f>
        <v/>
      </c>
      <c r="D12" s="37">
        <f>MAX(D11,0)*Inputs!D34</f>
        <v/>
      </c>
    </row>
    <row r="13">
      <c r="B13" s="13" t="inlineStr">
        <is>
          <t>PAT</t>
        </is>
      </c>
      <c r="C13" s="37">
        <f>C11-C12</f>
        <v/>
      </c>
      <c r="D13" s="37">
        <f>D11-D12</f>
        <v/>
      </c>
    </row>
    <row r="14">
      <c r="B14" s="13" t="inlineStr">
        <is>
          <t>Gross cash accruals (PAT + Dep)</t>
        </is>
      </c>
      <c r="C14" s="37">
        <f>C13+C7</f>
        <v/>
      </c>
      <c r="D14" s="37">
        <f>D13+D7</f>
        <v/>
      </c>
    </row>
    <row r="15">
      <c r="B15" s="13" t="inlineStr">
        <is>
          <t>Dividends</t>
        </is>
      </c>
      <c r="C15" s="37">
        <f>C13*Inputs!C35</f>
        <v/>
      </c>
      <c r="D15" s="37">
        <f>D13*Inputs!D35</f>
        <v/>
      </c>
    </row>
    <row r="16">
      <c r="B16" s="13" t="inlineStr">
        <is>
          <t>Tangible net worth (closing)</t>
        </is>
      </c>
      <c r="C16" s="37">
        <f>Inputs!E19+C13-C15</f>
        <v/>
      </c>
      <c r="D16" s="37">
        <f>C16+D13-D15</f>
        <v/>
      </c>
    </row>
    <row r="17">
      <c r="B17" s="13" t="inlineStr">
        <is>
          <t>Cash &amp; liquid investments (closing)</t>
        </is>
      </c>
      <c r="C17" s="37">
        <f>Inputs!E18+C14-Inputs!C31-C15+Inputs!C32</f>
        <v/>
      </c>
      <c r="D17" s="37">
        <f>C17+D14-Inputs!D31-D15+Inputs!D32</f>
        <v/>
      </c>
    </row>
    <row r="18">
      <c r="B18" s="13" t="inlineStr">
        <is>
          <t>Free cash flow (GCA - capex - dividends)</t>
        </is>
      </c>
      <c r="C18" s="37">
        <f>C14-Inputs!C31-C15</f>
        <v/>
      </c>
      <c r="D18" s="37">
        <f>D14-Inputs!D31-D15</f>
        <v/>
      </c>
    </row>
    <row r="20">
      <c r="B20" s="9" t="inlineStr">
        <is>
          <t>Interest on average of opening/closing debt. Depreciation held at FY0 level (conservative for flat capex). No equity raising assumed - an unraised issue is not a committed source of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>
        <f>"Agency: "&amp;Inputs!C5&amp;"   |   EBITDA is labelled "&amp;INDEX(Ref_Scales!I5:I7,MATCH(Inputs!C5,Ref_Scales!H5:H7,0))&amp;" by this agency"</f>
        <v/>
      </c>
    </row>
    <row r="5">
      <c r="B5" s="11" t="inlineStr">
        <is>
          <t>Ratio</t>
        </is>
      </c>
      <c r="C5" s="15">
        <f>Inputs!C11</f>
        <v/>
      </c>
      <c r="D5" s="15">
        <f>Inputs!D11</f>
        <v/>
      </c>
      <c r="E5" s="15">
        <f>Inputs!E11</f>
        <v/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>
        <f>Inputs!D12/Inputs!C12-1</f>
        <v/>
      </c>
      <c r="E6" s="38">
        <f>Inputs!E12/Inputs!D12-1</f>
        <v/>
      </c>
      <c r="F6" s="38">
        <f>Projections!C5/Inputs!E12-1</f>
        <v/>
      </c>
      <c r="G6" s="38">
        <f>Projections!D5/Projections!C5-1</f>
        <v/>
      </c>
    </row>
    <row r="7">
      <c r="B7" s="13">
        <f>INDEX(Ref_Scales!I5:I7,MATCH(Inputs!C5,Ref_Scales!H5:H7,0))&amp;" margin (%)"</f>
        <v/>
      </c>
      <c r="C7" s="38">
        <f>Inputs!C13/Inputs!C12</f>
        <v/>
      </c>
      <c r="D7" s="38">
        <f>Inputs!D13/Inputs!D12</f>
        <v/>
      </c>
      <c r="E7" s="38">
        <f>Inputs!E13/Inputs!E12</f>
        <v/>
      </c>
      <c r="F7" s="38">
        <f>Projections!C6/Projections!C5</f>
        <v/>
      </c>
      <c r="G7" s="38">
        <f>Projections!D6/Projections!D5</f>
        <v/>
      </c>
    </row>
    <row r="8">
      <c r="B8" s="13" t="inlineStr">
        <is>
          <t>PAT margin (%)</t>
        </is>
      </c>
      <c r="C8" s="38">
        <f>Inputs!C16/Inputs!C12</f>
        <v/>
      </c>
      <c r="D8" s="38">
        <f>Inputs!D16/Inputs!D12</f>
        <v/>
      </c>
      <c r="E8" s="38">
        <f>Inputs!E16/Inputs!E12</f>
        <v/>
      </c>
      <c r="F8" s="38">
        <f>Projections!C13/Projections!C5</f>
        <v/>
      </c>
      <c r="G8" s="38">
        <f>Projections!D13/Projections!D5</f>
        <v/>
      </c>
    </row>
    <row r="9">
      <c r="B9" s="13" t="inlineStr">
        <is>
          <t>ROCE (EBIT / (TD + TNW)) (%)</t>
        </is>
      </c>
      <c r="C9" s="38">
        <f>(Inputs!C13-Inputs!C14)/(Inputs!C17+Inputs!C19)</f>
        <v/>
      </c>
      <c r="D9" s="38">
        <f>(Inputs!D13-Inputs!D14)/(Inputs!D17+Inputs!D19)</f>
        <v/>
      </c>
      <c r="E9" s="38">
        <f>(Inputs!E13-Inputs!E14)/(Inputs!E17+Inputs!E19)</f>
        <v/>
      </c>
      <c r="F9" s="38">
        <f>Projections!C8/(Projections!C9+Projections!C16)</f>
        <v/>
      </c>
      <c r="G9" s="38">
        <f>Projections!D8/(Projections!D9+Projections!D16)</f>
        <v/>
      </c>
    </row>
    <row r="10">
      <c r="B10" s="13">
        <f>"Gearing / overall gearing - Total debt/TNW (x)"</f>
        <v/>
      </c>
      <c r="C10" s="39">
        <f>Inputs!C17/Inputs!C19</f>
        <v/>
      </c>
      <c r="D10" s="39">
        <f>Inputs!D17/Inputs!D19</f>
        <v/>
      </c>
      <c r="E10" s="39">
        <f>Inputs!E17/Inputs!E19</f>
        <v/>
      </c>
      <c r="F10" s="39">
        <f>Projections!C9/Projections!C16</f>
        <v/>
      </c>
      <c r="G10" s="39">
        <f>Projections!D9/Projections!D16</f>
        <v/>
      </c>
    </row>
    <row r="11">
      <c r="B11" s="13" t="inlineStr">
        <is>
          <t>TOL/TNW (x)</t>
        </is>
      </c>
      <c r="C11" s="39">
        <f>Inputs!C20/Inputs!C19</f>
        <v/>
      </c>
      <c r="D11" s="39">
        <f>Inputs!D20/Inputs!D19</f>
        <v/>
      </c>
      <c r="E11" s="39">
        <f>Inputs!E20/Inputs!E19</f>
        <v/>
      </c>
      <c r="F11" s="39" t="inlineStr">
        <is>
          <t>n.a.</t>
        </is>
      </c>
      <c r="G11" s="39" t="inlineStr">
        <is>
          <t>n.a.</t>
        </is>
      </c>
    </row>
    <row r="12">
      <c r="B12" s="13">
        <f>"Total debt/"&amp;INDEX(Ref_Scales!I5:I7,MATCH(Inputs!C5,Ref_Scales!H5:H7,0))&amp;" (x)"</f>
        <v/>
      </c>
      <c r="C12" s="39">
        <f>Inputs!C17/Inputs!C13</f>
        <v/>
      </c>
      <c r="D12" s="39">
        <f>Inputs!D17/Inputs!D13</f>
        <v/>
      </c>
      <c r="E12" s="39">
        <f>Inputs!E17/Inputs!E13</f>
        <v/>
      </c>
      <c r="F12" s="39">
        <f>Projections!C9/Projections!C6</f>
        <v/>
      </c>
      <c r="G12" s="39">
        <f>Projections!D9/Projections!D6</f>
        <v/>
      </c>
    </row>
    <row r="13">
      <c r="B13" s="13" t="inlineStr">
        <is>
          <t>Total debt/GCA (x)</t>
        </is>
      </c>
      <c r="C13" s="39">
        <f>Inputs!C17/(Inputs!C16+Inputs!C14)</f>
        <v/>
      </c>
      <c r="D13" s="39">
        <f>Inputs!D17/(Inputs!D16+Inputs!D14)</f>
        <v/>
      </c>
      <c r="E13" s="39">
        <f>Inputs!E17/(Inputs!E16+Inputs!E14)</f>
        <v/>
      </c>
      <c r="F13" s="39">
        <f>Projections!C9/Projections!C14</f>
        <v/>
      </c>
      <c r="G13" s="39">
        <f>Projections!D9/Projections!D14</f>
        <v/>
      </c>
    </row>
    <row r="14">
      <c r="B14" s="13" t="inlineStr">
        <is>
          <t>Interest coverage (x)</t>
        </is>
      </c>
      <c r="C14" s="39">
        <f>Inputs!C13/Inputs!C15</f>
        <v/>
      </c>
      <c r="D14" s="39">
        <f>Inputs!D13/Inputs!D15</f>
        <v/>
      </c>
      <c r="E14" s="39">
        <f>Inputs!E13/Inputs!E15</f>
        <v/>
      </c>
      <c r="F14" s="39">
        <f>Projections!C6/Projections!C10</f>
        <v/>
      </c>
      <c r="G14" s="39">
        <f>Projections!D6/Projections!D10</f>
        <v/>
      </c>
    </row>
    <row r="15">
      <c r="B15" s="13" t="inlineStr">
        <is>
          <t>GCA/Total debt (x)</t>
        </is>
      </c>
      <c r="C15" s="39">
        <f>(Inputs!C16+Inputs!C14)/Inputs!C17</f>
        <v/>
      </c>
      <c r="D15" s="39">
        <f>(Inputs!D16+Inputs!D14)/Inputs!D17</f>
        <v/>
      </c>
      <c r="E15" s="39">
        <f>(Inputs!E16+Inputs!E14)/Inputs!E17</f>
        <v/>
      </c>
      <c r="F15" s="39">
        <f>Projections!C14/Projections!C9</f>
        <v/>
      </c>
      <c r="G15" s="39">
        <f>Projections!D14/Projections!D9</f>
        <v/>
      </c>
    </row>
    <row r="16">
      <c r="B16" s="13" t="inlineStr">
        <is>
          <t>Current ratio (x)</t>
        </is>
      </c>
      <c r="C16" s="39">
        <f>Inputs!C21/Inputs!C22</f>
        <v/>
      </c>
      <c r="D16" s="39">
        <f>Inputs!D21/Inputs!D22</f>
        <v/>
      </c>
      <c r="E16" s="39">
        <f>Inputs!E21/Inputs!E22</f>
        <v/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>
        <f>Inputs!C17-Inputs!C18</f>
        <v/>
      </c>
      <c r="D17" s="37">
        <f>Inputs!D17-Inputs!D18</f>
        <v/>
      </c>
      <c r="E17" s="37">
        <f>Inputs!E17-Inputs!E18</f>
        <v/>
      </c>
      <c r="F17" s="37">
        <f>Projections!C9-Projections!C17</f>
        <v/>
      </c>
      <c r="G17" s="37">
        <f>Projections!D9-Projections!D17</f>
        <v/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>
        <f>Ratios!E14</f>
        <v/>
      </c>
      <c r="D6" s="40">
        <f>Ratios!F14</f>
        <v/>
      </c>
      <c r="E6" s="39">
        <f>AVERAGE(C6:D6)</f>
        <v/>
      </c>
      <c r="F6" s="23">
        <f>IF(Ref_Bands!$B$5="higher",6-COUNTIF(Ref_Bands!$C$5:$G$5,"&lt;="&amp;E6),1+COUNTIF(Ref_Bands!$C$5:$G$5,"&lt;"&amp;E6))</f>
        <v/>
      </c>
      <c r="G6" s="24">
        <f>Ref_Bands!$H$5</f>
        <v/>
      </c>
      <c r="H6" s="25">
        <f>F6*G6</f>
        <v/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>
        <f>Ratios!E10</f>
        <v/>
      </c>
      <c r="D7" s="40">
        <f>Ratios!F10</f>
        <v/>
      </c>
      <c r="E7" s="39">
        <f>AVERAGE(C7:D7)</f>
        <v/>
      </c>
      <c r="F7" s="23">
        <f>IF(Ref_Bands!$B$6="higher",6-COUNTIF(Ref_Bands!$C$6:$G$6,"&lt;="&amp;E7),1+COUNTIF(Ref_Bands!$C$6:$G$6,"&lt;"&amp;E7))</f>
        <v/>
      </c>
      <c r="G7" s="24">
        <f>Ref_Bands!$H$6</f>
        <v/>
      </c>
      <c r="H7" s="25">
        <f>F7*G7</f>
        <v/>
      </c>
    </row>
    <row r="8">
      <c r="B8" s="13" t="inlineStr">
        <is>
          <t>Total debt/EBITDA (x)</t>
        </is>
      </c>
      <c r="C8" s="40">
        <f>Ratios!E12</f>
        <v/>
      </c>
      <c r="D8" s="40">
        <f>Ratios!F12</f>
        <v/>
      </c>
      <c r="E8" s="39">
        <f>AVERAGE(C8:D8)</f>
        <v/>
      </c>
      <c r="F8" s="23">
        <f>IF(Ref_Bands!$B$7="higher",6-COUNTIF(Ref_Bands!$C$7:$G$7,"&lt;="&amp;E8),1+COUNTIF(Ref_Bands!$C$7:$G$7,"&lt;"&amp;E8))</f>
        <v/>
      </c>
      <c r="G8" s="24">
        <f>Ref_Bands!$H$7</f>
        <v/>
      </c>
      <c r="H8" s="25">
        <f>F8*G8</f>
        <v/>
      </c>
    </row>
    <row r="9">
      <c r="B9" s="13" t="inlineStr">
        <is>
          <t>EBITDA margin (fraction)</t>
        </is>
      </c>
      <c r="C9" s="41">
        <f>Ratios!E7</f>
        <v/>
      </c>
      <c r="D9" s="41">
        <f>Ratios!F7</f>
        <v/>
      </c>
      <c r="E9" s="38">
        <f>AVERAGE(C9:D9)</f>
        <v/>
      </c>
      <c r="F9" s="23">
        <f>IF(Ref_Bands!$B$8="higher",6-COUNTIF(Ref_Bands!$C$8:$G$8,"&lt;="&amp;E9),1+COUNTIF(Ref_Bands!$C$8:$G$8,"&lt;"&amp;E9))</f>
        <v/>
      </c>
      <c r="G9" s="24">
        <f>Ref_Bands!$H$8</f>
        <v/>
      </c>
      <c r="H9" s="25">
        <f>F9*G9</f>
        <v/>
      </c>
    </row>
    <row r="10">
      <c r="B10" s="13" t="inlineStr">
        <is>
          <t>GCA/Total debt (x)</t>
        </is>
      </c>
      <c r="C10" s="40">
        <f>Ratios!E15</f>
        <v/>
      </c>
      <c r="D10" s="40">
        <f>Ratios!F15</f>
        <v/>
      </c>
      <c r="E10" s="39">
        <f>AVERAGE(C10:D10)</f>
        <v/>
      </c>
      <c r="F10" s="23">
        <f>IF(Ref_Bands!$B$9="higher",6-COUNTIF(Ref_Bands!$C$9:$G$9,"&lt;="&amp;E10),1+COUNTIF(Ref_Bands!$C$9:$G$9,"&lt;"&amp;E10))</f>
        <v/>
      </c>
      <c r="G10" s="24">
        <f>Ref_Bands!$H$9</f>
        <v/>
      </c>
      <c r="H10" s="25">
        <f>F10*G10</f>
        <v/>
      </c>
    </row>
    <row r="11">
      <c r="B11" s="13" t="inlineStr">
        <is>
          <t>Current ratio (x)</t>
        </is>
      </c>
      <c r="C11" s="40">
        <f>Ratios!E16</f>
        <v/>
      </c>
      <c r="D11" s="40">
        <f>Ratios!E16</f>
        <v/>
      </c>
      <c r="E11" s="39">
        <f>AVERAGE(C11:D11)</f>
        <v/>
      </c>
      <c r="F11" s="23">
        <f>IF(Ref_Bands!$B$10="higher",6-COUNTIF(Ref_Bands!$C$10:$G$10,"&lt;="&amp;E11),1+COUNTIF(Ref_Bands!$C$10:$G$10,"&lt;"&amp;E11))</f>
        <v/>
      </c>
      <c r="G11" s="24">
        <f>Ref_Bands!$H$10</f>
        <v/>
      </c>
      <c r="H11" s="25">
        <f>F11*G11</f>
        <v/>
      </c>
    </row>
    <row r="12">
      <c r="B12" s="5" t="inlineStr">
        <is>
          <t>Financial risk score</t>
        </is>
      </c>
      <c r="E12" s="27" t="inlineStr"/>
      <c r="F12" s="28">
        <f>SUM(H6:H11)/SUM(G6:G11)</f>
        <v/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>
        <f>IF(Inputs!C39&lt;&gt;"",Inputs!C39,INDEX(Ref_Weights!$B$5:$B$26,MATCH(Inputs!$C$6,Ref_Weights!$A$5:$A$26,0)))</f>
        <v/>
      </c>
      <c r="D17" s="24">
        <f>INDEX(Ref_Weights!$C$5:$C$26,MATCH(Inputs!$C$6,Ref_Weights!$A$5:$A$26,0))</f>
        <v/>
      </c>
      <c r="E17" s="25">
        <f>C17*D17</f>
        <v/>
      </c>
    </row>
    <row r="18">
      <c r="B18" s="13" t="inlineStr">
        <is>
          <t>Business risk / market position / franchise</t>
        </is>
      </c>
      <c r="C18" s="25">
        <f>Inputs!C40</f>
        <v/>
      </c>
      <c r="D18" s="24">
        <f>INDEX(Ref_Weights!$D$5:$D$26,MATCH(Inputs!$C$6,Ref_Weights!$A$5:$A$26,0))</f>
        <v/>
      </c>
      <c r="E18" s="25">
        <f>C18*D18</f>
        <v/>
      </c>
    </row>
    <row r="19">
      <c r="B19" s="13" t="inlineStr">
        <is>
          <t>Financial risk (auto: corporate OR financial-sector)</t>
        </is>
      </c>
      <c r="C19" s="25">
        <f>IF(INDEX(Ref_Weights!$H$5:$H$26,MATCH(Inputs!$C$6,Ref_Weights!$A$5:$A$26,0))="Corporate",F12,F35)</f>
        <v/>
      </c>
      <c r="D19" s="24">
        <f>INDEX(Ref_Weights!$E$5:$E$26,MATCH(Inputs!$C$6,Ref_Weights!$A$5:$A$26,0))</f>
        <v/>
      </c>
      <c r="E19" s="25">
        <f>C19*D19</f>
        <v/>
      </c>
    </row>
    <row r="20">
      <c r="B20" s="13" t="inlineStr">
        <is>
          <t>Management &amp; governance</t>
        </is>
      </c>
      <c r="C20" s="25">
        <f>Inputs!C41</f>
        <v/>
      </c>
      <c r="D20" s="24">
        <f>INDEX(Ref_Weights!$F$5:$F$26,MATCH(Inputs!$C$6,Ref_Weights!$A$5:$A$26,0))</f>
        <v/>
      </c>
      <c r="E20" s="25">
        <f>C20*D20</f>
        <v/>
      </c>
    </row>
    <row r="22">
      <c r="B22" s="5" t="inlineStr">
        <is>
          <t>Composite score (weighted)</t>
        </is>
      </c>
      <c r="E22" s="28">
        <f>SUM(E17:E20)/SUM(D17:D20)</f>
        <v/>
      </c>
    </row>
    <row r="23">
      <c r="B23" s="13" t="inlineStr">
        <is>
          <t>Liquidity adjustment</t>
        </is>
      </c>
      <c r="E23" s="24">
        <f>INDEX(Ref_Scales!$F$5:$F$9,MATCH(Inputs!$C$43,Ref_Scales!$E$5:$E$9,0))</f>
        <v/>
      </c>
    </row>
    <row r="24">
      <c r="B24" s="5" t="inlineStr">
        <is>
          <t>Adjusted composite (1 = best, 6 = worst)</t>
        </is>
      </c>
      <c r="E24" s="28">
        <f>MIN(6,MAX(1,E22+E23))</f>
        <v/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>
        <f>Inputs!C49</f>
        <v/>
      </c>
      <c r="D29" s="41">
        <f>Inputs!D49</f>
        <v/>
      </c>
      <c r="E29" s="38">
        <f>AVERAGE(C29:D29)</f>
        <v/>
      </c>
      <c r="F29" s="23">
        <f>IF(Ref_Bands_Fin!$B$5="higher",6-COUNTIF(Ref_Bands_Fin!$C$5:$G$5,"&lt;="&amp;E29),1+COUNTIF(Ref_Bands_Fin!$C$5:$G$5,"&lt;"&amp;E29))</f>
        <v/>
      </c>
      <c r="G29" s="24">
        <f>Ref_Bands_Fin!$H$5</f>
        <v/>
      </c>
      <c r="H29" s="25">
        <f>F29*G29</f>
        <v/>
      </c>
    </row>
    <row r="30">
      <c r="B30" s="13" t="inlineStr">
        <is>
          <t>Gross NPA (%)</t>
        </is>
      </c>
      <c r="C30" s="41">
        <f>Inputs!C50</f>
        <v/>
      </c>
      <c r="D30" s="41">
        <f>Inputs!D50</f>
        <v/>
      </c>
      <c r="E30" s="38">
        <f>AVERAGE(C30:D30)</f>
        <v/>
      </c>
      <c r="F30" s="23">
        <f>IF(Ref_Bands_Fin!$B$6="higher",6-COUNTIF(Ref_Bands_Fin!$C$6:$G$6,"&lt;="&amp;E30),1+COUNTIF(Ref_Bands_Fin!$C$6:$G$6,"&lt;"&amp;E30))</f>
        <v/>
      </c>
      <c r="G30" s="24">
        <f>Ref_Bands_Fin!$H$6</f>
        <v/>
      </c>
      <c r="H30" s="25">
        <f>F30*G30</f>
        <v/>
      </c>
    </row>
    <row r="31">
      <c r="B31" s="13" t="inlineStr">
        <is>
          <t>Net NPA (%)</t>
        </is>
      </c>
      <c r="C31" s="41">
        <f>Inputs!C51</f>
        <v/>
      </c>
      <c r="D31" s="41">
        <f>Inputs!D51</f>
        <v/>
      </c>
      <c r="E31" s="38">
        <f>AVERAGE(C31:D31)</f>
        <v/>
      </c>
      <c r="F31" s="23">
        <f>IF(Ref_Bands_Fin!$B$7="higher",6-COUNTIF(Ref_Bands_Fin!$C$7:$G$7,"&lt;="&amp;E31),1+COUNTIF(Ref_Bands_Fin!$C$7:$G$7,"&lt;"&amp;E31))</f>
        <v/>
      </c>
      <c r="G31" s="24">
        <f>Ref_Bands_Fin!$H$7</f>
        <v/>
      </c>
      <c r="H31" s="25">
        <f>F31*G31</f>
        <v/>
      </c>
    </row>
    <row r="32">
      <c r="B32" s="13" t="inlineStr">
        <is>
          <t>Return on assets - RoA (%)</t>
        </is>
      </c>
      <c r="C32" s="41">
        <f>Inputs!C52</f>
        <v/>
      </c>
      <c r="D32" s="41">
        <f>Inputs!D52</f>
        <v/>
      </c>
      <c r="E32" s="38">
        <f>AVERAGE(C32:D32)</f>
        <v/>
      </c>
      <c r="F32" s="23">
        <f>IF(Ref_Bands_Fin!$B$8="higher",6-COUNTIF(Ref_Bands_Fin!$C$8:$G$8,"&lt;="&amp;E32),1+COUNTIF(Ref_Bands_Fin!$C$8:$G$8,"&lt;"&amp;E32))</f>
        <v/>
      </c>
      <c r="G32" s="24">
        <f>Ref_Bands_Fin!$H$8</f>
        <v/>
      </c>
      <c r="H32" s="25">
        <f>F32*G32</f>
        <v/>
      </c>
    </row>
    <row r="33">
      <c r="B33" s="13" t="inlineStr">
        <is>
          <t>Net interest margin - NIM (%)</t>
        </is>
      </c>
      <c r="C33" s="41">
        <f>Inputs!C53</f>
        <v/>
      </c>
      <c r="D33" s="41">
        <f>Inputs!D53</f>
        <v/>
      </c>
      <c r="E33" s="38">
        <f>AVERAGE(C33:D33)</f>
        <v/>
      </c>
      <c r="F33" s="23">
        <f>IF(Ref_Bands_Fin!$B$9="higher",6-COUNTIF(Ref_Bands_Fin!$C$9:$G$9,"&lt;="&amp;E33),1+COUNTIF(Ref_Bands_Fin!$C$9:$G$9,"&lt;"&amp;E33))</f>
        <v/>
      </c>
      <c r="G33" s="24">
        <f>Ref_Bands_Fin!$H$9</f>
        <v/>
      </c>
      <c r="H33" s="25">
        <f>F33*G33</f>
        <v/>
      </c>
    </row>
    <row r="34">
      <c r="B34" s="13" t="inlineStr">
        <is>
          <t>Cost-to-income (%)</t>
        </is>
      </c>
      <c r="C34" s="41">
        <f>Inputs!C54</f>
        <v/>
      </c>
      <c r="D34" s="41">
        <f>Inputs!D54</f>
        <v/>
      </c>
      <c r="E34" s="38">
        <f>AVERAGE(C34:D34)</f>
        <v/>
      </c>
      <c r="F34" s="23">
        <f>IF(Ref_Bands_Fin!$B$10="higher",6-COUNTIF(Ref_Bands_Fin!$C$10:$G$10,"&lt;="&amp;E34),1+COUNTIF(Ref_Bands_Fin!$C$10:$G$10,"&lt;"&amp;E34))</f>
        <v/>
      </c>
      <c r="G34" s="24">
        <f>Ref_Bands_Fin!$H$10</f>
        <v/>
      </c>
      <c r="H34" s="25">
        <f>F34*G34</f>
        <v/>
      </c>
    </row>
    <row r="35">
      <c r="B35" s="5" t="inlineStr">
        <is>
          <t>Financial-sector risk score</t>
        </is>
      </c>
      <c r="F35" s="28">
        <f>SUM(H29:H34)/SUM(G29:G34)</f>
        <v/>
      </c>
    </row>
    <row r="37">
      <c r="B37" s="72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/>
      </c>
    </row>
    <row r="40">
      <c r="B40" t="inlineStr">
        <is>
          <t>Financial risk score (1-6)</t>
        </is>
      </c>
      <c r="C40">
        <f>C19</f>
        <v/>
      </c>
    </row>
    <row r="41">
      <c r="B41" t="inlineStr">
        <is>
          <t>Business weaker than financial by</t>
        </is>
      </c>
      <c r="C41">
        <f>C39-C40</f>
        <v/>
      </c>
    </row>
    <row r="42">
      <c r="B42" t="inlineStr">
        <is>
          <t>GATE</t>
        </is>
      </c>
      <c r="C42">
        <f>IF(C41&gt;=2,"YES - set a ceiling in Inputs!C69 or state in Inputs!D69 why none applies","No - business and financial risk agree within one band")</f>
        <v/>
      </c>
    </row>
    <row r="43">
      <c r="B43" t="inlineStr">
        <is>
          <t>Ceiling grade entered (Inputs!C69)</t>
        </is>
      </c>
      <c r="C43">
        <f>Inputs!C69</f>
        <v/>
      </c>
      <c r="D43">
        <f>Inputs!D69</f>
        <v/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4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2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53">
        <f>C36</f>
        <v/>
      </c>
    </row>
    <row r="4">
      <c r="B4" s="19" t="inlineStr">
        <is>
          <t>Short-term</t>
        </is>
      </c>
      <c r="C4" s="53">
        <f>C37</f>
        <v/>
      </c>
    </row>
    <row r="5">
      <c r="B5" t="inlineStr">
        <is>
          <t>Combined</t>
        </is>
      </c>
      <c r="C5" s="54">
        <f>C38</f>
        <v/>
      </c>
    </row>
    <row r="6">
      <c r="B6" s="55">
        <f>"Issuer: "&amp;Inputs!C4&amp;"   |   Agency: "&amp;Inputs!C5&amp;"   |   Sector: "&amp;Inputs!C6</f>
        <v/>
      </c>
      <c r="C6" s="25" t="n"/>
      <c r="E6" s="13" t="inlineStr">
        <is>
          <t>Sector type</t>
        </is>
      </c>
      <c r="F6" s="13">
        <f>INDEX(Ref_Weights!$H$5:$H$26,MATCH(Inputs!$C$6,Ref_Weights!$A$5:$A$26,0))</f>
        <v/>
      </c>
    </row>
    <row r="7">
      <c r="B7" s="56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57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/>
      </c>
    </row>
    <row r="11">
      <c r="B11" s="13" t="inlineStr">
        <is>
          <t>Scale index before notches (0 = AAA ... 19 = D)</t>
        </is>
      </c>
      <c r="C11" s="23">
        <f>MIN(19,MAX(0,ROUND(16*((C10-1)/5)^1.4,0)))</f>
        <v/>
      </c>
      <c r="D11" s="58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/>
      </c>
    </row>
    <row r="13">
      <c r="B13" s="5" t="inlineStr">
        <is>
          <t>Index after support notches</t>
        </is>
      </c>
      <c r="C13" s="29">
        <f>MIN(19,MAX(0,C11-C12))</f>
        <v/>
      </c>
    </row>
    <row r="14">
      <c r="B14" t="inlineStr">
        <is>
          <t>Hard cap tested</t>
        </is>
      </c>
      <c r="C14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/>
      </c>
      <c r="D14" s="59">
        <f>IF(Inputs!C67="N",Inputs!D67,"(cap applies - not disapplied)")</f>
        <v/>
      </c>
    </row>
    <row r="15">
      <c r="B15" t="inlineStr">
        <is>
          <t>ANCHOR INDEX (after caps)</t>
        </is>
      </c>
      <c r="C15" s="50">
        <f>MAX(IF(Inputs!C67="N",C13,IF(F6="Corporate",IF(Inputs!E19&lt;0,MAX(C13,15),IF(Ratios!E14&lt;1,MAX(C13,13),C13)),IF(Inputs!C49&lt;0.09,MAX(C13,10),C13))),Scorecard!C44)</f>
        <v/>
      </c>
    </row>
    <row r="16">
      <c r="B16" s="10" t="inlineStr">
        <is>
          <t>Anchor long-term grade</t>
        </is>
      </c>
      <c r="C16">
        <f>INDEX(Ref_Scales!$A$5:$A$24,C15+1)</f>
        <v/>
      </c>
    </row>
    <row r="17">
      <c r="B17" s="13" t="inlineStr">
        <is>
          <t>Anchor short-term grade</t>
        </is>
      </c>
      <c r="C17" s="29">
        <f>IF(OR(Inputs!$C$43="Superior",Inputs!$C$43="Strong"),INDEX(Ref_Scales!$C$5:$C$24,C15+1),INDEX(Ref_Scales!$B$5:$B$24,C15+1))</f>
        <v/>
      </c>
    </row>
    <row r="18">
      <c r="B18" s="13" t="inlineStr">
        <is>
          <t>Anchor line  (a SCREEN, not the rating)</t>
        </is>
      </c>
      <c r="C18" s="60">
        <f>C16&amp;" / "&amp;C17</f>
        <v/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1" t="inlineStr">
        <is>
          <t>STAGE 2 - COMMITTEE OVERLAY   (Step 17c: what the anchor cannot see)</t>
        </is>
      </c>
      <c r="C20" s="49" t="inlineStr">
        <is>
          <t>Notches</t>
        </is>
      </c>
      <c r="D20" s="49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/>
      </c>
      <c r="D21" s="46">
        <f>Inputs!D60</f>
        <v/>
      </c>
    </row>
    <row r="22">
      <c r="B22" s="10" t="inlineStr">
        <is>
          <t>Business / franchise strength beyond the financial composite</t>
        </is>
      </c>
      <c r="C22">
        <f>Inputs!C61</f>
        <v/>
      </c>
      <c r="D22" s="46">
        <f>Inputs!D61</f>
        <v/>
      </c>
    </row>
    <row r="23">
      <c r="B23" s="15" t="inlineStr">
        <is>
          <t>Parent / group support beyond the Step 12b notch</t>
        </is>
      </c>
      <c r="C23" s="15">
        <f>Inputs!C62</f>
        <v/>
      </c>
      <c r="D23" s="62">
        <f>Inputs!D62</f>
        <v/>
      </c>
    </row>
    <row r="24">
      <c r="B24" s="13" t="inlineStr">
        <is>
          <t>Peer benchmarking / calibration</t>
        </is>
      </c>
      <c r="C24" s="42">
        <f>Inputs!C63</f>
        <v/>
      </c>
      <c r="D24" s="63">
        <f>Inputs!D63</f>
        <v/>
      </c>
    </row>
    <row r="25">
      <c r="B25" s="13" t="inlineStr">
        <is>
          <t>Other (name it in the justification)</t>
        </is>
      </c>
      <c r="C25" s="42">
        <f>Inputs!C64</f>
        <v/>
      </c>
      <c r="D25" s="63">
        <f>Inputs!D64</f>
        <v/>
      </c>
    </row>
    <row r="26">
      <c r="B26" s="13" t="inlineStr">
        <is>
          <t>Total overlay notches (+ improves)</t>
        </is>
      </c>
      <c r="C26" s="64">
        <f>SUM(C21:C25)</f>
        <v/>
      </c>
      <c r="D26" s="42" t="n"/>
    </row>
    <row r="27">
      <c r="B27" s="13" t="inlineStr">
        <is>
          <t>Index after overlay</t>
        </is>
      </c>
      <c r="C27" s="42">
        <f>MIN(19,MAX(0,C15-C26))</f>
        <v/>
      </c>
      <c r="D27" s="42" t="n"/>
    </row>
    <row r="28">
      <c r="B28" s="13" t="n"/>
      <c r="C28" s="42" t="n"/>
      <c r="D28" s="42" t="n"/>
    </row>
    <row r="29">
      <c r="B29" s="65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>
        <f>IF(Inputs!C66="","(none)",Inputs!C66)</f>
        <v/>
      </c>
      <c r="D30" s="66">
        <f>Inputs!D66</f>
        <v/>
      </c>
    </row>
    <row r="31">
      <c r="B31" s="13" t="inlineStr">
        <is>
          <t>ASSIGNED INDEX</t>
        </is>
      </c>
      <c r="C31" s="64">
        <f>IF(Inputs!C66="",C27,Inputs!C66)</f>
        <v/>
      </c>
      <c r="D31" s="42" t="n"/>
    </row>
    <row r="32">
      <c r="B32" t="inlineStr">
        <is>
          <t>Assigned long-term grade</t>
        </is>
      </c>
      <c r="C32" s="50">
        <f>INDEX(Ref_Scales!$A$5:$A$24,C31+1)</f>
        <v/>
      </c>
    </row>
    <row r="33">
      <c r="B33" s="9" t="inlineStr">
        <is>
          <t>Assigned short-term grade</t>
        </is>
      </c>
      <c r="C33">
        <f>IF(OR(Inputs!$C$43="Superior",Inputs!$C$43="Strong"),INDEX(Ref_Scales!$C$5:$C$24,C31+1),INDEX(Ref_Scales!$B$5:$B$24,C31+1))</f>
        <v/>
      </c>
    </row>
    <row r="34">
      <c r="B34" t="inlineStr">
        <is>
          <t>Divergence, anchor -&gt; assigned (notches)</t>
        </is>
      </c>
      <c r="C34">
        <f>C15-C31</f>
        <v/>
      </c>
      <c r="D34" s="59">
        <f>IF(C34=0,"None - the anchor and the assigned rating agree.","COMPUTED, not typed. Stage 2 must carry a justification for every notch of this. The rationale quotes THIS number.")</f>
        <v/>
      </c>
    </row>
    <row r="36">
      <c r="B36" t="inlineStr">
        <is>
          <t>Assigned long-term line (agency house style)</t>
        </is>
      </c>
      <c r="C36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/>
      </c>
    </row>
    <row r="37">
      <c r="B37" t="inlineStr">
        <is>
          <t>Assigned short-term line</t>
        </is>
      </c>
      <c r="C37">
        <f>IF(Inputs!C5="ICRA","[ICRA]"&amp;C33,IF(Inputs!C5="CRISIL","Crisil "&amp;C33,"CARE "&amp;C33))</f>
        <v/>
      </c>
    </row>
    <row r="38">
      <c r="B38" t="inlineStr">
        <is>
          <t>Assigned combined</t>
        </is>
      </c>
      <c r="C38">
        <f>C36&amp;" / "&amp;C37</f>
        <v/>
      </c>
    </row>
    <row r="40">
      <c r="B40" s="50" t="inlineStr">
        <is>
          <t>Future earning potential (from Projections)</t>
        </is>
      </c>
    </row>
    <row r="41">
      <c r="B41" t="inlineStr">
        <is>
          <t>Rs crore / x</t>
        </is>
      </c>
      <c r="C41" t="inlineStr">
        <is>
          <t>FY+1</t>
        </is>
      </c>
      <c r="D41" t="inlineStr">
        <is>
          <t>FY+2</t>
        </is>
      </c>
    </row>
    <row r="42">
      <c r="B42" t="inlineStr">
        <is>
          <t>Revenue</t>
        </is>
      </c>
      <c r="C42">
        <f>Projections!C5</f>
        <v/>
      </c>
      <c r="D42">
        <f>Projections!D5</f>
        <v/>
      </c>
    </row>
    <row r="43">
      <c r="B43" t="inlineStr">
        <is>
          <t>EBITDA</t>
        </is>
      </c>
      <c r="C43">
        <f>Projections!C6</f>
        <v/>
      </c>
      <c r="D43">
        <f>Projections!D6</f>
        <v/>
      </c>
    </row>
    <row r="44">
      <c r="B44" t="inlineStr">
        <is>
          <t>PAT</t>
        </is>
      </c>
      <c r="C44">
        <f>Projections!C13</f>
        <v/>
      </c>
      <c r="D44">
        <f>Projections!D13</f>
        <v/>
      </c>
    </row>
    <row r="45">
      <c r="B45" t="inlineStr">
        <is>
          <t>Gross cash accruals</t>
        </is>
      </c>
      <c r="C45">
        <f>Projections!C14</f>
        <v/>
      </c>
      <c r="D45">
        <f>Projections!D14</f>
        <v/>
      </c>
    </row>
    <row r="46">
      <c r="B46" t="inlineStr">
        <is>
          <t>Free cash flow</t>
        </is>
      </c>
      <c r="C46">
        <f>Projections!C18</f>
        <v/>
      </c>
      <c r="D46">
        <f>Projections!D18</f>
        <v/>
      </c>
    </row>
    <row r="47">
      <c r="B47" t="inlineStr">
        <is>
          <t>Interest coverage (x)</t>
        </is>
      </c>
      <c r="C47">
        <f>Ratios!F14</f>
        <v/>
      </c>
      <c r="D47">
        <f>Ratios!G14</f>
        <v/>
      </c>
    </row>
    <row r="48">
      <c r="B48" t="inlineStr">
        <is>
          <t>Gearing (x)</t>
        </is>
      </c>
      <c r="C48">
        <f>Ratios!F10</f>
        <v/>
      </c>
      <c r="D48">
        <f>Ratios!G10</f>
        <v/>
      </c>
    </row>
    <row r="49">
      <c r="B49" t="inlineStr">
        <is>
          <t>Net debt</t>
        </is>
      </c>
      <c r="C49">
        <f>Ratios!F17</f>
        <v/>
      </c>
      <c r="D49">
        <f>Ratios!G17</f>
        <v/>
      </c>
    </row>
    <row r="51">
      <c r="B51" s="59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59" t="inlineStr">
        <is>
          <t>This workbook is an analytical exercise output, not an agency publication. The rating decision belongs to the Rating Committee (Step 17c), never to this sheet.</t>
        </is>
      </c>
    </row>
    <row r="55">
      <c r="B55" s="67" t="inlineStr">
        <is>
          <t>RECONCILIATION - this workbook against the rationale</t>
        </is>
      </c>
      <c r="C55" s="51" t="n"/>
      <c r="D55" s="51" t="n"/>
      <c r="E55" s="51" t="n"/>
      <c r="F55" s="51" t="n"/>
    </row>
    <row r="56">
      <c r="B56" s="68" t="inlineStr">
        <is>
          <t>Assigned rating on this sheet (Stage 3, cell C36)</t>
        </is>
      </c>
      <c r="C56" s="69" t="inlineStr">
        <is>
          <t>Crisil AA-/Stable</t>
        </is>
      </c>
    </row>
    <row r="57">
      <c r="B57" s="68" t="inlineStr">
        <is>
          <t>Rating stated in the rationale</t>
        </is>
      </c>
      <c r="C57" s="69" t="inlineStr">
        <is>
          <t>Crisil AA-/Stable</t>
        </is>
      </c>
    </row>
    <row r="58">
      <c r="B58" s="68" t="inlineStr">
        <is>
          <t>Do they agree?</t>
        </is>
      </c>
      <c r="C58" s="69" t="inlineStr">
        <is>
          <t>YES</t>
        </is>
      </c>
    </row>
    <row r="59">
      <c r="B59" s="68" t="n"/>
      <c r="C59" s="69" t="inlineStr"/>
    </row>
    <row r="60">
      <c r="B60" s="68" t="inlineStr">
        <is>
          <t>Financial anchor (Stage 1, cell C16)</t>
        </is>
      </c>
      <c r="C60" s="69" t="inlineStr">
        <is>
          <t>AA+</t>
        </is>
      </c>
    </row>
    <row r="61">
      <c r="B61" s="68" t="inlineStr">
        <is>
          <t>Hard cap tested</t>
        </is>
      </c>
      <c r="C61" s="69" t="inlineStr">
        <is>
          <t>None</t>
        </is>
      </c>
    </row>
    <row r="62">
      <c r="B62" s="68" t="inlineStr">
        <is>
          <t>Divergence anchor -&gt; assigned, in notches (computed, C34)</t>
        </is>
      </c>
      <c r="C62" s="69" t="n">
        <v>-2</v>
      </c>
    </row>
    <row r="63">
      <c r="B63" s="71" t="n"/>
    </row>
    <row r="64">
      <c r="B64" s="71" t="inlineStr">
        <is>
          <t>The anchor is a SCREEN computed from the audited financials alone. Every notch between it and the assigned</t>
        </is>
      </c>
    </row>
    <row r="65">
      <c r="B65" s="71" t="inlineStr">
        <is>
          <t>rating is itemised and justified in Stage 2 on this sheet - not asserted in prose. The notch count above is</t>
        </is>
      </c>
    </row>
    <row r="66">
      <c r="B66" s="71" t="inlineStr">
        <is>
          <t>COMPUTED by the workbook; it is never typed, because the first two hand-typed notch counts in this project</t>
        </is>
      </c>
    </row>
    <row r="67">
      <c r="B67" s="71" t="inlineStr">
        <is>
          <t>were both wrong (Godrej Properties said 9 where the chain gives 3 after the sector correction; Vodafone Idea</t>
        </is>
      </c>
    </row>
    <row r="68">
      <c r="B68" s="71" t="inlineStr">
        <is>
          <t>said 12 where it was 9).</t>
        </is>
      </c>
    </row>
    <row r="69">
      <c r="B69" s="71" t="n"/>
    </row>
    <row r="70">
      <c r="B70" s="71" t="inlineStr">
        <is>
          <t>The divergence on this case is argued in DOMS Industries Limited_12 Aug 2026_CRISIL_Rating Rationale.md and the workpaper.</t>
        </is>
      </c>
    </row>
    <row r="71">
      <c r="B71" s="71" t="inlineStr">
        <is>
          <t>The rating decision belongs to the Rating Committee (Step 17c), not to this workbook.</t>
        </is>
      </c>
    </row>
    <row r="72">
      <c r="B72" s="71" t="n"/>
    </row>
    <row r="73">
      <c r="B73" s="71" t="inlineStr">
        <is>
          <t>CONVENTION USED - CRISIL ONLY. This workbook carries no other agency's definitions.</t>
        </is>
      </c>
    </row>
    <row r="74">
      <c r="B74" s="71" t="inlineStr">
        <is>
          <t>Operating-profit measure: EBITDA. PBDIT / EBITDA RETAINS recurring non-operating income rather than stripping it. Gearing uses adjusted total debt over adjusted networth, both adjusted for revaluation reserves, miscellaneous expenditure not written off, and off-balance-sheet items assessed for devolvement.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n"/>
      <c r="I5" s="13" t="n"/>
      <c r="J5" s="13" t="n"/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inlineStr">
        <is>
          <t>CRISIL</t>
        </is>
      </c>
      <c r="I6" s="13" t="inlineStr">
        <is>
          <t>EBITDA</t>
        </is>
      </c>
      <c r="J6" s="13" t="inlineStr">
        <is>
          <t>Crisil AA+/Stable / Crisil A1+</t>
        </is>
      </c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n"/>
      <c r="I7" s="13" t="n"/>
      <c r="J7" s="13" t="n"/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Derived from an empirical corpus of published rationales and back-tested 18-Jul-2026 against 396 rated issuers. This is THIS PROJECT'S calibration and is NOT published by CRISIL.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/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/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/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/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/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/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/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/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/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/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/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/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/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/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/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/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/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/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/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/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/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/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alike. Lifted from CRISIL's three risk profiles - market position is the ability to sell PROFITABLY and control price; risk appetite is explicit. Pick the row whose description best fits; justify the pick in one line in the report.</t>
        </is>
      </c>
    </row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2026-09-19T16:42:28Z</dcterms:modified>
</cp:coreProperties>
</file>