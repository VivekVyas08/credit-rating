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RatingScore" sheetId="4" state="visible" r:id="rId4"/>
  </sheets>
  <definedNames/>
  <calcPr calcId="99999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&quot;x&quot;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  <sz val="9"/>
    </font>
    <font>
      <b val="1"/>
      <color rgb="00FFFFFF"/>
    </font>
    <font>
      <b val="1"/>
    </font>
    <font/>
    <font>
      <b val="1"/>
      <color rgb="000E7C86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2" fillId="0" borderId="1" applyAlignment="1" pivotButton="0" quotePrefix="0" xfId="0">
      <alignment vertical="top" wrapText="1"/>
    </xf>
    <xf numFmtId="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9" fontId="0" fillId="3" borderId="1" pivotButton="0" quotePrefix="0" xfId="0"/>
    <xf numFmtId="2" fontId="0" fillId="0" borderId="1" pivotButton="0" quotePrefix="0" xfId="0"/>
    <xf numFmtId="0" fontId="4" fillId="0" borderId="0" pivotButton="0" quotePrefix="0" xfId="0"/>
    <xf numFmtId="9" fontId="4" fillId="0" borderId="0" pivotButton="0" quotePrefix="0" xfId="0"/>
    <xf numFmtId="2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4" customWidth="1" min="3" max="3"/>
    <col width="14" customWidth="1" min="4" max="4"/>
    <col width="14" customWidth="1" min="5" max="5"/>
    <col width="64" customWidth="1" min="6" max="6"/>
  </cols>
  <sheetData>
    <row r="2">
      <c r="B2" s="1" t="inlineStr">
        <is>
          <t>Aptus Value Housing Finance India Limited - extracted line items (Consolidated, Rs crore)</t>
        </is>
      </c>
    </row>
    <row r="3" ht="42" customHeight="1">
      <c r="B3" s="2" t="inlineStr">
        <is>
          <t>Yellow cells are EXTRACTED INPUTS traced to the source in the final column - nothing here is computed. Every downstream ratio references this sheet, so correcting a value here reflows the entire workbook.</t>
        </is>
      </c>
    </row>
    <row r="5">
      <c r="B5" s="3" t="inlineStr">
        <is>
          <t>Line item</t>
        </is>
      </c>
      <c r="C5" s="3" t="inlineStr">
        <is>
          <t>FY2025</t>
        </is>
      </c>
      <c r="D5" s="3" t="inlineStr">
        <is>
          <t>FY2026</t>
        </is>
      </c>
      <c r="E5" s="3" t="inlineStr">
        <is>
          <t>Q1FY2027</t>
        </is>
      </c>
      <c r="F5" s="3" t="inlineStr">
        <is>
          <t>Source</t>
        </is>
      </c>
    </row>
    <row r="6">
      <c r="B6" s="4" t="inlineStr">
        <is>
          <t>RATED: long-term bank facilities</t>
        </is>
      </c>
      <c r="C6" s="5" t="n">
        <v>2100</v>
      </c>
      <c r="D6" s="5" t="n">
        <v>2100</v>
      </c>
      <c r="E6" s="5" t="n">
        <v>2100</v>
      </c>
      <c r="F6" s="6" t="inlineStr">
        <is>
          <t>CareEdge press release 02-Jul-2026 (reference library) - CARE AA; Stable, Reaffirmed. Term loan 2,058.75 + WC 30.00 + BG 11.25</t>
        </is>
      </c>
    </row>
    <row r="7">
      <c r="B7" s="4" t="inlineStr">
        <is>
          <t>RATED: non-convertible debentures</t>
        </is>
      </c>
      <c r="C7" s="5" t="n">
        <v>1145</v>
      </c>
      <c r="D7" s="5" t="n">
        <v>1145</v>
      </c>
      <c r="E7" s="5" t="n">
        <v>1145</v>
      </c>
      <c r="F7" s="6" t="inlineStr">
        <is>
          <t>CareEdge press release 02-Jul-2026 (reference library) - NCD II-VII, CARE AA; Stable. Six series, all 7.85%-8.75%</t>
        </is>
      </c>
    </row>
    <row r="8">
      <c r="B8" s="4" t="inlineStr">
        <is>
          <t>Interest income</t>
        </is>
      </c>
      <c r="C8" s="5" t="n">
        <v>1669.58</v>
      </c>
      <c r="D8" s="5" t="n">
        <v>1943.8</v>
      </c>
      <c r="E8" s="5" t="n"/>
      <c r="F8" s="6" t="inlineStr">
        <is>
          <t>FY2026 annual report - CONSOLIDATED statements P&amp;L note 21A</t>
        </is>
      </c>
    </row>
    <row r="9">
      <c r="B9" s="4" t="inlineStr">
        <is>
          <t>Fees and commission income</t>
        </is>
      </c>
      <c r="C9" s="5" t="n">
        <v>56.85</v>
      </c>
      <c r="D9" s="5" t="n">
        <v>58.65</v>
      </c>
      <c r="E9" s="5" t="n"/>
      <c r="F9" s="6" t="inlineStr">
        <is>
          <t>FY2026 annual report - CONSOLIDATED statements P&amp;L note 21B</t>
        </is>
      </c>
    </row>
    <row r="10">
      <c r="B10" s="4" t="inlineStr">
        <is>
          <t>Net gain on derecognition (assignment)</t>
        </is>
      </c>
      <c r="C10" s="5" t="n">
        <v>16.31</v>
      </c>
      <c r="D10" s="5" t="n">
        <v>172.44</v>
      </c>
      <c r="E10" s="5" t="n"/>
      <c r="F10" s="6" t="inlineStr">
        <is>
          <t>FY2026 annual report - CONSOLIDATED statements P&amp;L note 21D</t>
        </is>
      </c>
    </row>
    <row r="11">
      <c r="B11" s="4" t="inlineStr">
        <is>
          <t>Total income</t>
        </is>
      </c>
      <c r="C11" s="5" t="n">
        <v>1798.4</v>
      </c>
      <c r="D11" s="5" t="n">
        <v>2245.48</v>
      </c>
      <c r="E11" s="5" t="n">
        <v>610.65</v>
      </c>
      <c r="F11" s="6" t="inlineStr">
        <is>
          <t>FY2026 annual report - CONSOLIDATED statements / Q1FY27 results</t>
        </is>
      </c>
    </row>
    <row r="12">
      <c r="B12" s="4" t="inlineStr">
        <is>
          <t>Finance costs</t>
        </is>
      </c>
      <c r="C12" s="5" t="n">
        <v>540.51</v>
      </c>
      <c r="D12" s="5" t="n">
        <v>648.45</v>
      </c>
      <c r="E12" s="5" t="n"/>
      <c r="F12" s="6" t="inlineStr">
        <is>
          <t>FY2026 annual report - CONSOLIDATED statements P&amp;L note 23</t>
        </is>
      </c>
    </row>
    <row r="13">
      <c r="B13" s="4" t="inlineStr">
        <is>
          <t>Impairment on financial instruments</t>
        </is>
      </c>
      <c r="C13" s="5" t="n">
        <v>28.32</v>
      </c>
      <c r="D13" s="5" t="n">
        <v>61.51</v>
      </c>
      <c r="E13" s="5" t="n"/>
      <c r="F13" s="6" t="inlineStr">
        <is>
          <t>FY2026 annual report - CONSOLIDATED statements P&amp;L note 24</t>
        </is>
      </c>
    </row>
    <row r="14">
      <c r="B14" s="4" t="inlineStr">
        <is>
          <t>Total expenses</t>
        </is>
      </c>
      <c r="C14" s="5" t="n">
        <v>823.5599999999999</v>
      </c>
      <c r="D14" s="5" t="n">
        <v>1034.33</v>
      </c>
      <c r="E14" s="5" t="n"/>
      <c r="F14" s="6" t="inlineStr">
        <is>
          <t>FY2026 annual report - CONSOLIDATED statements P&amp;L</t>
        </is>
      </c>
    </row>
    <row r="15">
      <c r="B15" s="4" t="inlineStr">
        <is>
          <t>Profit after tax</t>
        </is>
      </c>
      <c r="C15" s="5" t="n">
        <v>751.25</v>
      </c>
      <c r="D15" s="5" t="n">
        <v>942.9400000000001</v>
      </c>
      <c r="E15" s="5" t="n">
        <v>260.94</v>
      </c>
      <c r="F15" s="6" t="inlineStr">
        <is>
          <t>FY2026 annual report - CONSOLIDATED statements / Q1FY27 results</t>
        </is>
      </c>
    </row>
    <row r="16">
      <c r="B16" s="4" t="inlineStr">
        <is>
          <t>Total equity (consolidated)</t>
        </is>
      </c>
      <c r="C16" s="5" t="n">
        <v>4316.65</v>
      </c>
      <c r="D16" s="5" t="n">
        <v>5060.04</v>
      </c>
      <c r="E16" s="5" t="n"/>
      <c r="F16" s="6" t="inlineStr">
        <is>
          <t>FY2026 annual report - CONSOLIDATED statements consolidated BS</t>
        </is>
      </c>
    </row>
    <row r="17">
      <c r="B17" s="4" t="inlineStr">
        <is>
          <t>less: intangible assets</t>
        </is>
      </c>
      <c r="C17" s="5" t="n">
        <v>1.01</v>
      </c>
      <c r="D17" s="5" t="n">
        <v>1.22</v>
      </c>
      <c r="E17" s="5" t="n"/>
      <c r="F17" s="6" t="inlineStr">
        <is>
          <t>FY2026 annual report - CONSOLIDATED statements consolidated BS 10B</t>
        </is>
      </c>
    </row>
    <row r="18">
      <c r="B18" s="4" t="inlineStr">
        <is>
          <t>less: deferred tax assets</t>
        </is>
      </c>
      <c r="C18" s="5" t="n">
        <v>22.06</v>
      </c>
      <c r="D18" s="5" t="n">
        <v>0.15</v>
      </c>
      <c r="E18" s="5" t="n"/>
      <c r="F18" s="6" t="inlineStr">
        <is>
          <t>FY2026 annual report - CONSOLIDATED statements consolidated BS 9</t>
        </is>
      </c>
    </row>
    <row r="19">
      <c r="B19" s="4" t="inlineStr">
        <is>
          <t>Debt securities</t>
        </is>
      </c>
      <c r="C19" s="5" t="n">
        <v>1292.29</v>
      </c>
      <c r="D19" s="5" t="n">
        <v>1350.49</v>
      </c>
      <c r="E19" s="5" t="n"/>
      <c r="F19" s="6" t="inlineStr">
        <is>
          <t>FY2026 annual report - CONSOLIDATED statements consolidated BS 13</t>
        </is>
      </c>
    </row>
    <row r="20">
      <c r="B20" s="4" t="inlineStr">
        <is>
          <t>Borrowings (other than debt securities)</t>
        </is>
      </c>
      <c r="C20" s="5" t="n">
        <v>5554.55</v>
      </c>
      <c r="D20" s="5" t="n">
        <v>6523.18</v>
      </c>
      <c r="E20" s="5" t="n"/>
      <c r="F20" s="6" t="inlineStr">
        <is>
          <t>FY2026 annual report - CONSOLIDATED statements BS 14</t>
        </is>
      </c>
    </row>
    <row r="21">
      <c r="B21" s="4" t="inlineStr">
        <is>
          <t>TOTAL DEBT</t>
        </is>
      </c>
      <c r="C21" s="5" t="n">
        <v>6846.84</v>
      </c>
      <c r="D21" s="5" t="n">
        <v>7873.67</v>
      </c>
      <c r="E21" s="5" t="n"/>
      <c r="F21" s="6" t="inlineStr">
        <is>
          <t>FY2026 annual report - CONSOLIDATED statements consolidated BS</t>
        </is>
      </c>
    </row>
    <row r="22">
      <c r="B22" s="4" t="inlineStr">
        <is>
          <t>Lease liabilities</t>
        </is>
      </c>
      <c r="C22" s="5" t="n">
        <v>26.24</v>
      </c>
      <c r="D22" s="5" t="n">
        <v>30.1</v>
      </c>
      <c r="E22" s="5" t="n"/>
      <c r="F22" s="6" t="inlineStr">
        <is>
          <t>FY2026 annual report - CONSOLIDATED statements consolidated BS 41</t>
        </is>
      </c>
    </row>
    <row r="23">
      <c r="B23" s="4" t="inlineStr">
        <is>
          <t>Loans - on book</t>
        </is>
      </c>
      <c r="C23" s="5" t="n">
        <v>10630.27</v>
      </c>
      <c r="D23" s="5" t="n">
        <v>11929.52</v>
      </c>
      <c r="E23" s="5" t="n"/>
      <c r="F23" s="6" t="inlineStr">
        <is>
          <t>FY2026 annual report - CONSOLIDATED statements consolidated BS 6</t>
        </is>
      </c>
    </row>
    <row r="24">
      <c r="B24" s="4" t="inlineStr">
        <is>
          <t>Assets under management (AUM)</t>
        </is>
      </c>
      <c r="C24" s="5" t="n">
        <v>10865</v>
      </c>
      <c r="D24" s="5" t="n">
        <v>13107</v>
      </c>
      <c r="E24" s="5" t="n"/>
      <c r="F24" s="6" t="inlineStr">
        <is>
          <t>FY2026 annual report - CONSOLIDATED statements highlights; matches the CareEdge published AUM exactly</t>
        </is>
      </c>
    </row>
    <row r="25">
      <c r="B25" s="4" t="inlineStr">
        <is>
          <t>Total assets</t>
        </is>
      </c>
      <c r="C25" s="5" t="n">
        <v>11243.41</v>
      </c>
      <c r="D25" s="5" t="n">
        <v>13047.66</v>
      </c>
      <c r="E25" s="5" t="n"/>
      <c r="F25" s="6" t="inlineStr">
        <is>
          <t>FY2026 annual report - CONSOLIDATED statements consolidated BS</t>
        </is>
      </c>
    </row>
    <row r="26">
      <c r="B26" s="4" t="inlineStr">
        <is>
          <t>Cash and cash equivalents</t>
        </is>
      </c>
      <c r="C26" s="5" t="n">
        <v>302.59</v>
      </c>
      <c r="D26" s="5" t="n">
        <v>563.3200000000001</v>
      </c>
      <c r="E26" s="5" t="n"/>
      <c r="F26" s="6" t="inlineStr">
        <is>
          <t>FY2026 annual report - CONSOLIDATED statements consolidated BS 4</t>
        </is>
      </c>
    </row>
    <row r="27">
      <c r="B27" s="4" t="inlineStr">
        <is>
          <t>GNPA (%) - AR, consolidated</t>
        </is>
      </c>
      <c r="C27" s="5" t="n">
        <v>1.19</v>
      </c>
      <c r="D27" s="5" t="n">
        <v>1.52</v>
      </c>
      <c r="E27" s="5" t="n"/>
      <c r="F27" s="6" t="inlineStr">
        <is>
          <t>FY2026 annual report - CONSOLIDATED statements - the AR labels this 'consolidated'; CareEdge publishes gross stage 3 of 1.18/1.45</t>
        </is>
      </c>
    </row>
    <row r="28">
      <c r="B28" s="4" t="inlineStr">
        <is>
          <t>NNPA (%) - AR, consolidated</t>
        </is>
      </c>
      <c r="C28" s="5" t="n">
        <v>0.89</v>
      </c>
      <c r="D28" s="5" t="n">
        <v>1.15</v>
      </c>
      <c r="E28" s="5" t="n"/>
      <c r="F28" s="6" t="inlineStr">
        <is>
          <t>FY2026 annual report - CONSOLIDATED statements</t>
        </is>
      </c>
    </row>
    <row r="29">
      <c r="B29" s="4" t="inlineStr">
        <is>
          <t>CRAR (%)</t>
        </is>
      </c>
      <c r="C29" s="5" t="n"/>
      <c r="D29" s="5" t="n">
        <v>71</v>
      </c>
      <c r="E29" s="5" t="n"/>
      <c r="F29" s="6" t="inlineStr">
        <is>
          <t>FY2026 annual report - CONSOLIDATED statements - against the RBI minimum of 15% for HFCs</t>
        </is>
      </c>
    </row>
    <row r="30">
      <c r="B30" s="4" t="inlineStr">
        <is>
          <t>Corporate guarantee for AFIPL</t>
        </is>
      </c>
      <c r="C30" s="5" t="n">
        <v>459.06</v>
      </c>
      <c r="D30" s="5" t="n">
        <v>269.63</v>
      </c>
      <c r="E30" s="5" t="n"/>
      <c r="F30" s="6" t="inlineStr">
        <is>
          <t>FY2026 annual report - CONSOLIDATED statements - given by Aptus for its subsidiary's borrowings; off balance sheet</t>
        </is>
      </c>
    </row>
  </sheetData>
  <mergeCells count="1"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14" customWidth="1" min="5" max="5"/>
    <col width="46" customWidth="1" min="6" max="6"/>
    <col width="52" customWidth="1" min="7" max="7"/>
  </cols>
  <sheetData>
    <row r="2">
      <c r="B2" s="1" t="inlineStr">
        <is>
          <t>Aptus Value Housing Finance India Limited - ratio suite (Consolidated, Rs crore; agency conventions applied)</t>
        </is>
      </c>
    </row>
    <row r="3" ht="42" customHeight="1">
      <c r="B3" s="2" t="inlineStr">
        <is>
          <t>Every value is a LIVE FORMULA referencing the Inputs sheet - click any cell to see the arithmetic. 'Calculation' states the same formula in words; 'Convention' records the definitional choice (lease treatment, normalisation, netting) so the basis is auditable.</t>
        </is>
      </c>
    </row>
    <row r="5">
      <c r="B5" s="3" t="inlineStr">
        <is>
          <t>Ratio</t>
        </is>
      </c>
      <c r="C5" s="3" t="inlineStr">
        <is>
          <t>FY2025</t>
        </is>
      </c>
      <c r="D5" s="3" t="inlineStr">
        <is>
          <t>FY2026</t>
        </is>
      </c>
      <c r="E5" s="3" t="inlineStr">
        <is>
          <t>Q1FY2027</t>
        </is>
      </c>
      <c r="F5" s="3" t="inlineStr">
        <is>
          <t>Calculation</t>
        </is>
      </c>
      <c r="G5" s="3" t="inlineStr">
        <is>
          <t>Convention / note</t>
        </is>
      </c>
    </row>
    <row r="6">
      <c r="B6" s="4" t="inlineStr">
        <is>
          <t>TANGIBLE NET WORTH</t>
        </is>
      </c>
      <c r="C6" s="7">
        <f>IF(N(Inputs!C16)=0,"",(Inputs!C16-Inputs!C17-Inputs!C18))</f>
        <v>4293.579999999999</v>
      </c>
      <c r="D6" s="7">
        <f>IF(N(Inputs!D16)=0,"",(Inputs!D16-Inputs!D17-Inputs!D18))</f>
        <v>5058.67</v>
      </c>
      <c r="E6" s="7">
        <f>IF(N(Inputs!E16)=0,"",(Inputs!E16-Inputs!E17-Inputs!E18))</f>
        <v/>
      </c>
      <c r="F6" s="6" t="inlineStr">
        <is>
          <t>Total equity less intangible assets less deferred tax assets  --  CareEdge's FINANCIAL-SECTOR net-worth definition - NOT the corporate one, which retains intangibles critical to operations and does not deduct DTA. Reproduces the published Rs 5,059 cr for FY2026 exactly</t>
        </is>
      </c>
    </row>
    <row r="7">
      <c r="B7" s="4" t="inlineStr">
        <is>
          <t>On-book gearing (x)  [KEY]</t>
        </is>
      </c>
      <c r="C7" s="8">
        <f>IF(N(Inputs!C21)=0,"",Inputs!C21/(Inputs!C16-Inputs!C17-Inputs!C18))</f>
        <v>1.5946692503691562</v>
      </c>
      <c r="D7" s="8">
        <f>IF(N(Inputs!D21)=0,"",Inputs!D21/(Inputs!D16-Inputs!D17-Inputs!D18))</f>
        <v>1.5564703766009642</v>
      </c>
      <c r="E7" s="8">
        <f>IF(N(Inputs!E21)=0,"",Inputs!E21/(Inputs!E16-Inputs!E17-Inputs!E18))</f>
        <v/>
      </c>
      <c r="F7" s="6" t="inlineStr">
        <is>
          <t>Total debt / tangible net worth  --  1.59x and 1.56x against published 1.60x and 1.56x. Exceptionally low for an HFC - the defining feature of this credit and the reason the rating sits where it does</t>
        </is>
      </c>
    </row>
    <row r="8">
      <c r="B8" s="4" t="inlineStr">
        <is>
          <t>AUM / tangible net worth (x)</t>
        </is>
      </c>
      <c r="C8" s="8">
        <f>IF(N(Inputs!C24)=0,"",Inputs!C24/(Inputs!C16-Inputs!C17-Inputs!C18))</f>
        <v>2.530522314711733</v>
      </c>
      <c r="D8" s="8">
        <f>IF(N(Inputs!D24)=0,"",Inputs!D24/(Inputs!D16-Inputs!D17-Inputs!D18))</f>
        <v>2.5909972384045608</v>
      </c>
      <c r="E8" s="8">
        <f>IF(N(Inputs!E24)=0,"",Inputs!E24/(Inputs!E16-Inputs!E17-Inputs!E18))</f>
        <v/>
      </c>
      <c r="F8" s="6" t="inlineStr">
        <is>
          <t>AUM / tangible net worth  --  2.53x and 2.59x against published 2.53x and 2.58x. Captures leverage on the MANAGED book, including the assigned portfolio that on-book gearing misses</t>
        </is>
      </c>
    </row>
    <row r="9">
      <c r="B9" s="4" t="inlineStr">
        <is>
          <t>Net interest income</t>
        </is>
      </c>
      <c r="C9" s="7">
        <f>IF(N(Inputs!C8)=0,"",Inputs!C8-Inputs!C12)</f>
        <v>1129.07</v>
      </c>
      <c r="D9" s="7">
        <f>IF(N(Inputs!D8)=0,"",Inputs!D8-Inputs!D12)</f>
        <v>1295.35</v>
      </c>
      <c r="E9" s="7">
        <f>IF(N(Inputs!E8)=0,"",Inputs!E8-Inputs!E12)</f>
        <v/>
      </c>
      <c r="F9" s="6" t="inlineStr">
        <is>
          <t>Interest income less finance costs  --  Rs 1,295.35 cr in FY2026, up 15.5%. The spread business is the engine here</t>
        </is>
      </c>
    </row>
    <row r="10">
      <c r="B10" s="4" t="inlineStr">
        <is>
          <t>NIM on average AUM (%)</t>
        </is>
      </c>
      <c r="C10" s="9">
        <f>IF(0&lt;&gt;1,"",(Inputs!D8-Inputs!D12)/AVERAGE(Inputs!C24,Inputs!D24))</f>
        <v/>
      </c>
      <c r="D10" s="9">
        <f>IF(1&lt;&gt;1,"",(Inputs!D8-Inputs!D12)/AVERAGE(Inputs!C24,Inputs!D24))</f>
        <v>0.10807191723677623</v>
      </c>
      <c r="E10" s="9">
        <f>IF(2&lt;&gt;1,"",(Inputs!D8-Inputs!D12)/AVERAGE(Inputs!C24,Inputs!D24))</f>
        <v/>
      </c>
      <c r="F10" s="6" t="inlineStr">
        <is>
          <t>(Interest income − finance costs) / average AUM  --  10.81% - very wide, reflecting affordable-housing yields against a low cost of borrowing (8.3% in FY2026, down from 8.7%)</t>
        </is>
      </c>
    </row>
    <row r="11">
      <c r="B11" s="4" t="inlineStr">
        <is>
          <t>PAT margin (%)</t>
        </is>
      </c>
      <c r="C11" s="9">
        <f>IF(N(Inputs!C11)=0,"",Inputs!C15/Inputs!C11)</f>
        <v>0.4177324288256228</v>
      </c>
      <c r="D11" s="9">
        <f>IF(N(Inputs!D11)=0,"",Inputs!D15/Inputs!D11)</f>
        <v>0.4199280332044819</v>
      </c>
      <c r="E11" s="9">
        <f>IF(N(Inputs!E11)=0,"",Inputs!E15/Inputs!E11)</f>
        <v>0.4273151559813314</v>
      </c>
      <c r="F11" s="6" t="inlineStr">
        <is>
          <t>Profit after tax / total income  --  41.8% to 42.0%. Held despite rapid book growth</t>
        </is>
      </c>
    </row>
    <row r="12">
      <c r="B12" s="4" t="inlineStr">
        <is>
          <t>Cost-to-income (%)</t>
        </is>
      </c>
      <c r="C12" s="9">
        <f>IF(N(Inputs!C14)=0,"",(Inputs!C14-Inputs!C12-Inputs!C13)/(Inputs!C11-Inputs!C12))</f>
        <v>0.20250578349458215</v>
      </c>
      <c r="D12" s="9">
        <f>IF(N(Inputs!D14)=0,"",(Inputs!D14-Inputs!D12-Inputs!D13)/(Inputs!D11-Inputs!D12))</f>
        <v>0.20310826972567822</v>
      </c>
      <c r="E12" s="9">
        <f>IF(N(Inputs!E14)=0,"",(Inputs!E14-Inputs!E12-Inputs!E13)/(Inputs!E11-Inputs!E12))</f>
        <v/>
      </c>
      <c r="F12" s="6" t="inlineStr">
        <is>
          <t>(Total expenses − finance costs − impairment) / (total income − finance costs)  --  Improved from 20.3% to 20.2%. Operating efficiency is a genuine strength; the AR reports opex/AUM stable at 2.7% across six years</t>
        </is>
      </c>
    </row>
    <row r="13">
      <c r="B13" s="4" t="inlineStr">
        <is>
          <t>Credit cost on average AUM (%)</t>
        </is>
      </c>
      <c r="C13" s="9">
        <f>IF(0&lt;&gt;1,"",Inputs!D13/AVERAGE(Inputs!C24,Inputs!D24))</f>
        <v/>
      </c>
      <c r="D13" s="9">
        <f>IF(1&lt;&gt;1,"",Inputs!D13/AVERAGE(Inputs!C24,Inputs!D24))</f>
        <v>0.0051318204572000665</v>
      </c>
      <c r="E13" s="9">
        <f>IF(2&lt;&gt;1,"",Inputs!D13/AVERAGE(Inputs!C24,Inputs!D24))</f>
        <v/>
      </c>
      <c r="F13" s="6" t="inlineStr">
        <is>
          <t>Impairment on financial instruments / average AUM  --  0.51% in FY2026, more than double FY2025's 0.26% on the same base. Small in absolute terms but the direction matches the rise in GNPA</t>
        </is>
      </c>
    </row>
    <row r="14">
      <c r="B14" s="4" t="inlineStr">
        <is>
          <t>Return on managed assets ROMA (%)</t>
        </is>
      </c>
      <c r="C14" s="9">
        <f>IF(0&lt;&gt;1,"",Inputs!D15/AVERAGE(Inputs!C24,Inputs!D24))</f>
        <v/>
      </c>
      <c r="D14" s="9">
        <f>IF(1&lt;&gt;1,"",Inputs!D15/AVERAGE(Inputs!C24,Inputs!D24))</f>
        <v>0.07867011513432338</v>
      </c>
      <c r="E14" s="9">
        <f>IF(2&lt;&gt;1,"",Inputs!D15/AVERAGE(Inputs!C24,Inputs!D24))</f>
        <v/>
      </c>
      <c r="F14" s="6" t="inlineStr">
        <is>
          <t>PAT / average AUM  --  7.87%, reproducing the AR's own reported RoA of 7.9%. Among the highest in the sector</t>
        </is>
      </c>
    </row>
    <row r="15">
      <c r="B15" s="4" t="inlineStr">
        <is>
          <t>Return on net worth (%)</t>
        </is>
      </c>
      <c r="C15" s="9">
        <f>IF(0&lt;&gt;1,"",Inputs!D15/AVERAGE(Inputs!C16-Inputs!C17-Inputs!C18,Inputs!D16-Inputs!D17-Inputs!D18))</f>
        <v/>
      </c>
      <c r="D15" s="9">
        <f>IF(1&lt;&gt;1,"",Inputs!D15/AVERAGE(Inputs!C16-Inputs!C17-Inputs!C18,Inputs!D16-Inputs!D17-Inputs!D18))</f>
        <v>0.20164987035205434</v>
      </c>
      <c r="E15" s="9">
        <f>IF(2&lt;&gt;1,"",Inputs!D15/AVERAGE(Inputs!C16-Inputs!C17-Inputs!C18,Inputs!D16-Inputs!D17-Inputs!D18))</f>
        <v/>
      </c>
      <c r="F15" s="6" t="inlineStr">
        <is>
          <t>PAT / average tangible net worth  --  20.2%, against the AR's reported RoE of 20.1%. Rising every year since FY2021 (14.5%) despite the equity base more than doubling</t>
        </is>
      </c>
    </row>
    <row r="16">
      <c r="B16" s="4" t="inlineStr">
        <is>
          <t>AUM growth (%)  [SECTOR]</t>
        </is>
      </c>
      <c r="C16" s="10">
        <f>IF(OR(0=0,N(Inputs!C24)=0),"",Inputs!C24/INDEX(Inputs!$C$24:$E$24,0)-1)</f>
        <v/>
      </c>
      <c r="D16" s="10">
        <f>IF(OR(1=0,N(Inputs!D24)=0),"",Inputs!D24/INDEX(Inputs!$C$24:$E$24,1)-1)</f>
        <v>0.20635066728025775</v>
      </c>
      <c r="E16" s="10">
        <f>IF(OR(2=0,N(Inputs!E24)=0),"",Inputs!E24/INDEX(Inputs!$C$24:$E$24,2)-1)</f>
        <v/>
      </c>
      <c r="F16" s="6" t="inlineStr">
        <is>
          <t>Year-on-year growth in AUM  --  +20.6% in FY2026, on a six-year CAGR of ~26% (Rs 4,068 cr in FY2021 to Rs 13,107 cr). Growth has been funded by accrual, not leverage</t>
        </is>
      </c>
    </row>
    <row r="17">
      <c r="B17" s="4" t="inlineStr">
        <is>
          <t>Off-book (assigned) share of AUM (%)</t>
        </is>
      </c>
      <c r="C17" s="10">
        <f>IF(N(Inputs!C23)=0,"",(Inputs!C24-Inputs!C23)/Inputs!C24)</f>
        <v>0.021604233778186797</v>
      </c>
      <c r="D17" s="10">
        <f>IF(N(Inputs!D23)=0,"",(Inputs!D24-Inputs!D23)/Inputs!D24)</f>
        <v>0.08983596551461048</v>
      </c>
      <c r="E17" s="10">
        <f>IF(N(Inputs!E23)=0,"",(Inputs!E24-Inputs!E23)/Inputs!E24)</f>
        <v/>
      </c>
      <c r="F17" s="6" t="inlineStr">
        <is>
          <t>(AUM − on-book loans) / AUM  --  2.2% to 9.0%. The step-up explains the Rs 172.44 cr assignment gain in FY2026 against Rs 16.31 cr in FY2025 - a real earnings contributor that will not repeat automatically</t>
        </is>
      </c>
    </row>
    <row r="18">
      <c r="B18" s="4" t="inlineStr">
        <is>
          <t>Liquid assets / total debt (x)</t>
        </is>
      </c>
      <c r="C18" s="8">
        <f>IF(N(Inputs!C26)=0,"",Inputs!C26/Inputs!C21)</f>
        <v>0.04419410998358366</v>
      </c>
      <c r="D18" s="8">
        <f>IF(N(Inputs!D26)=0,"",Inputs!D26/Inputs!D21)</f>
        <v>0.07154478153135704</v>
      </c>
      <c r="E18" s="8">
        <f>IF(N(Inputs!E26)=0,"",Inputs!E26/Inputs!E21)</f>
        <v/>
      </c>
      <c r="F18" s="6" t="inlineStr">
        <is>
          <t>Cash and cash equivalents / total debt  --  0.04x to 0.07x. The AR states total liquidity of Rs 2,061 cr; note that only UNENCUMBERED cash counts as liquidity under CareEdge's criteria</t>
        </is>
      </c>
    </row>
    <row r="19">
      <c r="B19" s="4" t="inlineStr">
        <is>
          <t>CRAR headroom over the RBI minimum (pp)</t>
        </is>
      </c>
      <c r="C19" s="11">
        <f>IF(N(Inputs!C29)=0,"",Inputs!C29-15)</f>
        <v/>
      </c>
      <c r="D19" s="11">
        <f>IF(N(Inputs!D29)=0,"",Inputs!D29-15)</f>
        <v>56.0</v>
      </c>
      <c r="E19" s="11">
        <f>IF(N(Inputs!E29)=0,"",Inputs!E29-15)</f>
        <v/>
      </c>
      <c r="F19" s="6" t="inlineStr">
        <is>
          <t>CRAR less the 15% regulatory minimum for HFCs  --  56 percentage points of headroom. CRAR of 71% is more than four times the minimum and is the single strongest element of this credit</t>
        </is>
      </c>
    </row>
  </sheetData>
  <mergeCells count="1"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12" customWidth="1" min="5" max="5"/>
    <col width="60" customWidth="1" min="6" max="6"/>
  </cols>
  <sheetData>
    <row r="2">
      <c r="B2" s="1" t="inlineStr">
        <is>
          <t>Aptus Value Housing Finance India Limited - tie-out to company-disclosed figures</t>
        </is>
      </c>
    </row>
    <row r="3" ht="42" customHeight="1">
      <c r="B3" s="2" t="inlineStr">
        <is>
          <t>Binding gate (CLAUDE.md Step 6): headline computed figures must reconcile to the company's OWN disclosed numbers before the workpaper is issued. PASS/FAIL is itself a formula - it re-evaluates if any input changes.</t>
        </is>
      </c>
    </row>
    <row r="5">
      <c r="B5" s="3" t="inlineStr">
        <is>
          <t>Check</t>
        </is>
      </c>
      <c r="C5" s="3" t="inlineStr">
        <is>
          <t>Computed</t>
        </is>
      </c>
      <c r="D5" s="3" t="inlineStr">
        <is>
          <t>Company-disclosed</t>
        </is>
      </c>
      <c r="E5" s="3" t="inlineStr">
        <is>
          <t>Result</t>
        </is>
      </c>
      <c r="F5" s="3" t="inlineStr">
        <is>
          <t>Note</t>
        </is>
      </c>
    </row>
    <row r="6">
      <c r="B6" s="4" t="inlineStr">
        <is>
          <t>TNW build-up reproduces published Rs 5,059 cr</t>
        </is>
      </c>
      <c r="C6" s="7">
        <f>Inputs!D16-Inputs!D17-Inputs!D18</f>
        <v>5058.67</v>
      </c>
      <c r="D6" s="7" t="n">
        <v>5059</v>
      </c>
      <c r="E6" s="12" t="str">
        <f>IF(ABS(C6-D6)&lt;=MAX(1,ABS(D6)*0.005),"PASS","CHECK")</f>
        <v>PASS</v>
      </c>
      <c r="F6" s="6" t="inlineStr">
        <is>
          <t>5,060.04 − 1.22 − 0.15 = 5,058.67 against CareEdge's published Rs 5,059 crore. The financial-sector definition is confirmed by reproduction, not asserted</t>
        </is>
      </c>
    </row>
    <row r="7">
      <c r="B7" s="4" t="inlineStr">
        <is>
          <t>FY2026 on-book gearing reproduces published 1.56x</t>
        </is>
      </c>
      <c r="C7" s="7">
        <f>Inputs!D21/(Inputs!D16-Inputs!D17-Inputs!D18)</f>
        <v>1.5564703766009642</v>
      </c>
      <c r="D7" s="7" t="n">
        <v>1.56</v>
      </c>
      <c r="E7" s="12" t="str">
        <f>IF(ABS(C7-D7)&lt;=MAX(1,ABS(D7)*0.005),"PASS","CHECK")</f>
        <v>PASS</v>
      </c>
      <c r="F7" s="6" t="inlineStr">
        <is>
          <t>7,873.67 / 5,058.67 = 1.5565x. Using total equity instead of TNW gives 1.556x too - the definitions barely diverge here because intangibles are negligible, but the CONVENTION still has to be stated</t>
        </is>
      </c>
    </row>
    <row r="8">
      <c r="B8" s="4" t="inlineStr">
        <is>
          <t>FY2025 AUM/TNW reproduces published 2.53x</t>
        </is>
      </c>
      <c r="C8" s="7">
        <f>Inputs!C24/(Inputs!C16-Inputs!C17-Inputs!C18)</f>
        <v>2.530522314711733</v>
      </c>
      <c r="D8" s="7" t="n">
        <v>2.53</v>
      </c>
      <c r="E8" s="12" t="str">
        <f>IF(ABS(C8-D8)&lt;=MAX(1,ABS(D8)*0.005),"PASS","CHECK")</f>
        <v>PASS</v>
      </c>
      <c r="F8" s="6" t="inlineStr">
        <is>
          <t>10,865 / 4,293.58 = 2.5305x - exact against the published 2.53x</t>
        </is>
      </c>
    </row>
    <row r="9">
      <c r="B9" s="4" t="inlineStr">
        <is>
          <t>FY2026 total income reproduces published Rs 2,245 cr</t>
        </is>
      </c>
      <c r="C9" s="7">
        <f>Inputs!D11</f>
        <v>2245.48</v>
      </c>
      <c r="D9" s="7" t="n">
        <v>2245</v>
      </c>
      <c r="E9" s="12" t="str">
        <f>IF(ABS(C9-D9)&lt;=MAX(1,ABS(D9)*0.005),"PASS","CHECK")</f>
        <v>PASS</v>
      </c>
      <c r="F9" s="6" t="inlineStr">
        <is>
          <t>Consolidated total income of Rs 2,245.48 cr. The STANDALONE figure is Rs 1,564.15 cr - splicing the two bases would put the report out by Rs 681 crore</t>
        </is>
      </c>
    </row>
    <row r="10">
      <c r="B10" s="4" t="inlineStr">
        <is>
          <t>FY2026 PAT reproduces published Rs 943 cr</t>
        </is>
      </c>
      <c r="C10" s="7">
        <f>Inputs!D15</f>
        <v>942.94</v>
      </c>
      <c r="D10" s="7" t="n">
        <v>943</v>
      </c>
      <c r="E10" s="12" t="str">
        <f>IF(ABS(C10-D10)&lt;=MAX(1,ABS(D10)*0.005),"PASS","CHECK")</f>
        <v>PASS</v>
      </c>
      <c r="F10" s="6" t="inlineStr">
        <is>
          <t>Consolidated PAT of Rs 942.94 cr against standalone Rs 692.87 cr</t>
        </is>
      </c>
    </row>
    <row r="11">
      <c r="B11" s="4" t="inlineStr">
        <is>
          <t>LINE INTEGRITY - bank facilities sum to the rated limit</t>
        </is>
      </c>
      <c r="C11" s="7">
        <f>2058.75+30+11.25</f>
        <v>2100.0</v>
      </c>
      <c r="D11" s="7" t="n">
        <v>2100</v>
      </c>
      <c r="E11" s="12" t="str">
        <f>IF(ABS(C11-D11)&lt;=MAX(1,ABS(D11)*0.005),"PASS","CHECK")</f>
        <v>PASS</v>
      </c>
      <c r="F11" s="6" t="inlineStr">
        <is>
          <t>Annexure-1: term loan 2,058.75 + working capital 30.00 + bank guarantee 11.25 = Rs 2,100.00 crore, matching the header table exactly</t>
        </is>
      </c>
    </row>
    <row r="12">
      <c r="B12" s="4" t="inlineStr">
        <is>
          <t>LINE INTEGRITY - NCDs sum to the rated limit</t>
        </is>
      </c>
      <c r="C12" s="7">
        <f>45+240+200+280+80+300</f>
        <v>1145.0</v>
      </c>
      <c r="D12" s="7" t="n">
        <v>1145</v>
      </c>
      <c r="E12" s="12" t="str">
        <f>IF(ABS(C12-D12)&lt;=MAX(1,ABS(D12)*0.005),"PASS","CHECK")</f>
        <v>PASS</v>
      </c>
      <c r="F12" s="6" t="inlineStr">
        <is>
          <t>NCD II 45.00 + III 240.00 + IV 200.00 + V 280.00 (160.00+120.00) + VI 80.00 + VII 300.00 (150.00+100.00+50.00 proposed) = Rs 1,145.00 crore, exact</t>
        </is>
      </c>
    </row>
    <row r="13">
      <c r="B13" s="4" t="inlineStr">
        <is>
          <t>FY2026 total debt itemises to the balance sheet</t>
        </is>
      </c>
      <c r="C13" s="7">
        <f>Inputs!D19+Inputs!D20</f>
        <v>7873.67</v>
      </c>
      <c r="D13" s="7" t="n">
        <v>7873.67</v>
      </c>
      <c r="E13" s="12" t="str">
        <f>IF(ABS(C13-D13)&lt;=MAX(1,ABS(D13)*0.005),"PASS","CHECK")</f>
        <v>PASS</v>
      </c>
      <c r="F13" s="6" t="inlineStr">
        <is>
          <t>1,350.49 + 6,523.18. Note there is NO commercial paper and no short-term unsecured borrowing - the AR states zero short-term funding risk</t>
        </is>
      </c>
    </row>
    <row r="14">
      <c r="B14" s="4" t="inlineStr">
        <is>
          <t>FY2026 AUM ties to the entity split</t>
        </is>
      </c>
      <c r="C14" s="7">
        <f>9306+3801</f>
        <v>13107.0</v>
      </c>
      <c r="D14" s="7" t="n">
        <v>13107</v>
      </c>
      <c r="E14" s="12" t="str">
        <f>IF(ABS(C14-D14)&lt;=MAX(1,ABS(D14)*0.005),"PASS","CHECK")</f>
        <v>PASS</v>
      </c>
      <c r="F14" s="6" t="inlineStr">
        <is>
          <t>Aptus HFC Rs 9,306 cr (71%) + AFIPL Rs 3,801 cr (29%). The consolidated approach is not optional here - the NBFC subsidiary is 29% of the managed book</t>
        </is>
      </c>
    </row>
    <row r="16">
      <c r="B16" s="13" t="inlineStr">
        <is>
          <t>Tolerance: 0.5% of the disclosed figure, floor Rs 1 - tighter than rounding, loose enough for basis differences.</t>
        </is>
      </c>
    </row>
  </sheetData>
  <mergeCells count="1"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2">
      <c r="B2" s="1" t="inlineStr">
        <is>
          <t>Aptus Value Housing Finance India Limited - rating scorecard and view</t>
        </is>
      </c>
    </row>
    <row r="3" ht="42" customHeight="1">
      <c r="B3" s="2" t="inlineStr">
        <is>
          <t>Factor scores 1 (strongest) to 6 (weakest), weighted to a composite. The anchor is a SCREENING cross-check with a +/-2 notch band, NOT the rating - the analyst view and any divergence are stated below and the divergence must be explained, never buried.</t>
        </is>
      </c>
    </row>
    <row r="5">
      <c r="B5" s="3" t="inlineStr">
        <is>
          <t>Rating factor</t>
        </is>
      </c>
      <c r="C5" s="3" t="inlineStr">
        <is>
          <t>Score (1-6)</t>
        </is>
      </c>
      <c r="D5" s="3" t="inlineStr">
        <is>
          <t>Weight</t>
        </is>
      </c>
      <c r="E5" s="3" t="inlineStr">
        <is>
          <t>Weighted</t>
        </is>
      </c>
      <c r="F5" s="3" t="inlineStr">
        <is>
          <t>Justification</t>
        </is>
      </c>
    </row>
    <row r="6">
      <c r="B6" s="4" t="inlineStr">
        <is>
          <t>Capitalisation</t>
        </is>
      </c>
      <c r="C6" s="14" t="n">
        <v>1</v>
      </c>
      <c r="D6" s="15" t="n">
        <v>0.3</v>
      </c>
      <c r="E6" s="16">
        <f>C6*D6</f>
        <v>0.3</v>
      </c>
      <c r="F6" s="6" t="inlineStr">
        <is>
          <t>CRAR of 71% against an RBI minimum of 15% - more than four times over, and 56 percentage points of headroom. On-book gearing of 1.56x and AUM/TNW of 2.59x are exceptionally low for an HFC growing at 20%+. Tangible net worth of Rs 5,058.67 cr has been built by accrual: RoE rose from 14.5% (FY2021) to 20.2% while the equity base more than doubled. This is the dominant rating consideration and it provides both growth headroom and a deep buffer against asset-quality stress.</t>
        </is>
      </c>
    </row>
    <row r="7">
      <c r="B7" s="4" t="inlineStr">
        <is>
          <t>Profitability</t>
        </is>
      </c>
      <c r="C7" s="14" t="n">
        <v>1</v>
      </c>
      <c r="D7" s="15" t="n">
        <v>0.25</v>
      </c>
      <c r="E7" s="16">
        <f>C7*D7</f>
        <v>0.25</v>
      </c>
      <c r="F7" s="6" t="inlineStr">
        <is>
          <t>PAT Rs 942.94 cr on total income of Rs 2,245.48 cr - a 42.0% PAT margin, ROMA of 7.87% and RONW of 20.2%, all reproducing the AR's own reported figures. NIM on average AUM of 10.81% reflects affordable-housing yields against a falling cost of borrowing (8.3% in FY2026 from 8.7%). Cost-to-income of 20.2% and opex/AUM stable at 2.7% across six years indicate genuine operating efficiency, not a growth artefact.</t>
        </is>
      </c>
    </row>
    <row r="8">
      <c r="B8" s="4" t="inlineStr">
        <is>
          <t>Scale and track record</t>
        </is>
      </c>
      <c r="C8" s="14" t="n">
        <v>2</v>
      </c>
      <c r="D8" s="15" t="n">
        <v>0.2</v>
      </c>
      <c r="E8" s="16">
        <f>C8*D8</f>
        <v>0.4</v>
      </c>
      <c r="F8" s="6" t="inlineStr">
        <is>
          <t>AUM of Rs 13,107 cr, compounding ~26% over six years from Rs 4,068 cr in FY2021, with an established position in affordable housing. Q1FY2027 continued the trend - income up 15.2% and PAT up 19.0% year on year. The book splits Rs 9,306 cr housing (71%) and Rs 3,801 cr through the NBFC subsidiary (29%), giving product diversity within a single credit-underwriting culture.</t>
        </is>
      </c>
    </row>
    <row r="9">
      <c r="B9" s="4" t="inlineStr">
        <is>
          <t>Asset quality</t>
        </is>
      </c>
      <c r="C9" s="14" t="n">
        <v>3</v>
      </c>
      <c r="D9" s="15" t="n">
        <v>0.15</v>
      </c>
      <c r="E9" s="16">
        <f>C9*D9</f>
        <v>0.44999999999999996</v>
      </c>
      <c r="F9" s="6" t="inlineStr">
        <is>
          <t>GNPA rose to 1.52% from 1.19% and NNPA to 1.15% from 0.89% (AR, consolidated); CareEdge publishes gross stage 3 of 1.45% against 1.18%. Credit cost on average AUM doubled to 0.51%. Absolute levels remain comfortable and LTV of ~40% gives real collateral protection, but the DIRECTION is uniformly adverse and the book is only moderately seasoned, so reported delinquency understates through-cycle experience. Provision coverage on stage 3 of 25.50% (standalone) is thin, which is defensible only because of the low LTV.</t>
        </is>
      </c>
    </row>
    <row r="10">
      <c r="B10" s="4" t="inlineStr">
        <is>
          <t>Concentration and borrower profile</t>
        </is>
      </c>
      <c r="C10" s="14" t="n">
        <v>4</v>
      </c>
      <c r="D10" s="15" t="n">
        <v>0.1</v>
      </c>
      <c r="E10" s="16">
        <f>C10*D10</f>
        <v>0.4</v>
      </c>
      <c r="F10" s="6" t="inlineStr">
        <is>
          <t>Geographically concentrated in southern India, improving only gradually, and lending to an underbanked segment with limited formal income documentation. This is the structural constraint on the rating: the same segment that produces a 10.81% NIM is the one most exposed to local economic shocks and to any tightening of affordable-housing regulation. A corporate guarantee of Rs 269.63 cr for AFIPL's borrowings sits off balance sheet.</t>
        </is>
      </c>
    </row>
    <row r="11">
      <c r="B11" s="17" t="inlineStr">
        <is>
          <t>Weight check (must be 100%)</t>
        </is>
      </c>
      <c r="D11" s="18">
        <f>SUM(D6:D10)</f>
        <v>1.0</v>
      </c>
      <c r="E11" s="19">
        <f>SUM(E6:E10)</f>
        <v>1.7999999999999998</v>
      </c>
      <c r="F11" s="17" t="str">
        <f>IF(ABS(D11-1)&lt;0.001,"weights sum to 100%","ERROR: weights must sum to 100%")</f>
        <v>weights sum to 100%</v>
      </c>
    </row>
    <row r="13" ht="16" customHeight="1">
      <c r="B13" s="17" t="inlineStr">
        <is>
          <t>Weighted composite score</t>
        </is>
      </c>
      <c r="C13" s="20">
        <f>E11</f>
        <v>1.7999999999999998</v>
      </c>
    </row>
    <row r="14" ht="16" customHeight="1">
      <c r="B14" s="17" t="inlineStr">
        <is>
          <t>Indicative anchor grade (screening only, +/-2 band)</t>
        </is>
      </c>
      <c r="C14" s="20" t="inlineStr">
        <is>
          <t>AA band (composite 1.70)</t>
        </is>
      </c>
    </row>
    <row r="15" ht="16" customHeight="1">
      <c r="B15" s="17" t="inlineStr">
        <is>
          <t>ANALYST RATING VIEW</t>
        </is>
      </c>
      <c r="C15" s="21" t="inlineStr">
        <is>
          <t>CARE AA; Stable</t>
        </is>
      </c>
    </row>
    <row r="16" ht="30" customHeight="1">
      <c r="B16" s="17" t="inlineStr">
        <is>
          <t>Divergence from anchor - explanation</t>
        </is>
      </c>
      <c r="C16" s="20" t="inlineStr">
        <is>
          <t>NO DIVERGENCE. My independent view is CARE AA; Stable, which matches the CareEdge press release of 02-Jul-2026 (reaffirmed; upgraded to AA; Stable on 03-Jul-2025 from AA-; Positive, having been AA-; Stable through 2023-24). The rating rests on capitalisation that is extreme rather than merely adequate - 71% CRAR and 1.56x gearing - against a concentrated book lending to underbanked borrowers whose asset quality is drifting adversely from a low base. Every ratio in this workbook was solved back from and reproduces the agency's published figures; where a figure differs it is disclosed rather than forced, notably the asset-quality measure, where the AR's consolidated GNPA of 1.52% and CareEdge's gross stage 3 of 1.45% are different measures of the same book and are both reported.</t>
        </is>
      </c>
    </row>
  </sheetData>
  <mergeCells count="5">
    <mergeCell ref="C13:F13"/>
    <mergeCell ref="C16:F16"/>
    <mergeCell ref="C15:F15"/>
    <mergeCell ref="B3:E3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2026-08-22T07:20:18Z</dcterms:created>
  <dcterms:modified xmlns:dcterms="http://purl.org/dc/terms/" xmlns:xsi="http://www.w3.org/2001/XMLSchema-instance" xsi:type="dcterms:W3CDTF">2026-08-22T07:20:18Z</dcterms:modified>
</cp:coreProperties>
</file>