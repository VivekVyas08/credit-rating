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redit Ratio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CF Input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Debt Breakup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3" fontId="0" fillId="4" borderId="0" pivotButton="0" quotePrefix="0" xfId="0"/>
    <xf numFmtId="4" fontId="0" fillId="0" borderId="0" pivotButton="0" quotePrefix="0" xfId="0"/>
    <xf numFmtId="4" fontId="0" fillId="4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4" borderId="0" pivotButton="0" quotePrefix="0" xfId="0"/>
    <xf numFmtId="2" fontId="0" fillId="0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0" customWidth="1" min="7" max="7"/>
  </cols>
  <sheetData>
    <row r="1">
      <c r="A1" s="1" t="inlineStr">
        <is>
          <t>Ashok Leyland Limited - standalone 5-year model (Rs crore). Base case shown on every statement tab; Scenarios tab carries Bull / Bear (rating stress) / Tail.</t>
        </is>
      </c>
    </row>
    <row r="2">
      <c r="A2" t="inlineStr">
        <is>
          <t>Generated by build_model.py from compute_ratios.py (182+ tie-outs). Historical columns FY2023-FY2026 are audited; yellow = projection. Re-run the script to flex a driver.</t>
        </is>
      </c>
    </row>
    <row r="4">
      <c r="A4" s="2" t="inlineStr">
        <is>
          <t>Driver</t>
        </is>
      </c>
      <c r="B4" s="2" t="inlineStr">
        <is>
          <t>FY2027E</t>
        </is>
      </c>
      <c r="C4" s="2" t="inlineStr">
        <is>
          <t>FY2028E</t>
        </is>
      </c>
      <c r="D4" s="2" t="inlineStr">
        <is>
          <t>FY2029E</t>
        </is>
      </c>
      <c r="E4" s="2" t="inlineStr">
        <is>
          <t>FY2030E</t>
        </is>
      </c>
      <c r="F4" s="2" t="inlineStr">
        <is>
          <t>FY2031E</t>
        </is>
      </c>
      <c r="G4" s="2" t="inlineStr">
        <is>
          <t>Source / basis</t>
        </is>
      </c>
    </row>
    <row r="5">
      <c r="A5" t="inlineStr">
        <is>
          <t>Total vehicle volume growth (%) - Base</t>
        </is>
      </c>
      <c r="B5" t="n">
        <v>5</v>
      </c>
      <c r="C5" t="n">
        <v>5</v>
      </c>
      <c r="D5" t="n">
        <v>2</v>
      </c>
      <c r="E5" t="n">
        <v>-4</v>
      </c>
      <c r="F5" t="n">
        <v>4</v>
      </c>
      <c r="G5" t="inlineStr">
        <is>
          <t>ANALYST JUDGMENT. FY2027 per FY2026 AR MD&amp;A: 'FY27 is expected to mark a year of disciplined, consolidation-led growth'. FY2029-30 moderation reflects the company's own ten-year table (FY2019 peak 1,97,366 -&gt; FY2021 1,00,725 vehicles): a CV upcycle (FY2022-26) is not assumed to run unbroken. Timing is illustrative, not a forecast.</t>
        </is>
      </c>
    </row>
    <row r="6">
      <c r="A6" t="inlineStr">
        <is>
          <t>Total vehicle volume growth (%) - Bull</t>
        </is>
      </c>
      <c r="B6" t="n">
        <v>8</v>
      </c>
      <c r="C6" t="n">
        <v>8</v>
      </c>
      <c r="D6" t="n">
        <v>6</v>
      </c>
      <c r="E6" t="n">
        <v>4</v>
      </c>
      <c r="F6" t="n">
        <v>5</v>
      </c>
      <c r="G6" t="inlineStr"/>
    </row>
    <row r="7">
      <c r="A7" t="inlineStr">
        <is>
          <t>Total vehicle volume growth (%) - Bear / rating stress</t>
        </is>
      </c>
      <c r="B7" t="n">
        <v>-8</v>
      </c>
      <c r="C7" t="n">
        <v>-25</v>
      </c>
      <c r="D7" t="n">
        <v>-10</v>
      </c>
      <c r="E7" t="n">
        <v>15</v>
      </c>
      <c r="F7" t="n">
        <v>10</v>
      </c>
      <c r="G7" t="inlineStr"/>
    </row>
    <row r="8">
      <c r="A8" t="inlineStr">
        <is>
          <t>Total vehicle volume growth (%) - Tail (FY2019-21 repeat)</t>
        </is>
      </c>
      <c r="B8" t="n">
        <v>-37</v>
      </c>
      <c r="C8" t="n">
        <v>-20</v>
      </c>
      <c r="D8" t="n">
        <v>27</v>
      </c>
      <c r="E8" t="n">
        <v>40</v>
      </c>
      <c r="F8" t="n">
        <v>10</v>
      </c>
      <c r="G8" t="inlineStr"/>
    </row>
    <row r="9">
      <c r="A9" t="inlineStr">
        <is>
          <t>CV realisation per vehicle growth (%) - Base</t>
        </is>
      </c>
      <c r="B9" t="n">
        <v>1.5</v>
      </c>
      <c r="C9" t="n">
        <v>1.5</v>
      </c>
      <c r="D9" t="n">
        <v>1.5</v>
      </c>
      <c r="E9" t="n">
        <v>1.5</v>
      </c>
      <c r="F9" t="n">
        <v>1.5</v>
      </c>
      <c r="G9" t="inlineStr">
        <is>
          <t>ANALYST JUDGMENT. History (CV revenue / vehicles): Rs 16.46 lakh FY2023 -&gt; 16.71 lakh FY2026, about +0.5% a year; 1.5% allows for premiumisation (chairman's letter) and price increases.</t>
        </is>
      </c>
    </row>
    <row r="10">
      <c r="A10" t="inlineStr">
        <is>
          <t>CV realisation per vehicle growth (%) - Bull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inlineStr"/>
    </row>
    <row r="11">
      <c r="A11" t="inlineStr">
        <is>
          <t>CV realisation per vehicle growth (%) - Bear / rating stress</t>
        </is>
      </c>
      <c r="B11" t="n">
        <v>0</v>
      </c>
      <c r="C11" t="n">
        <v>-1</v>
      </c>
      <c r="D11" t="n">
        <v>0</v>
      </c>
      <c r="E11" t="n">
        <v>1</v>
      </c>
      <c r="F11" t="n">
        <v>1.5</v>
      </c>
      <c r="G11" t="inlineStr"/>
    </row>
    <row r="12">
      <c r="A12" t="inlineStr">
        <is>
          <t>CV realisation per vehicle growth (%) - Tail (FY2019-21 repeat)</t>
        </is>
      </c>
      <c r="B12" t="n">
        <v>0</v>
      </c>
      <c r="C12" t="n">
        <v>0</v>
      </c>
      <c r="D12" t="n">
        <v>3</v>
      </c>
      <c r="E12" t="n">
        <v>3</v>
      </c>
      <c r="F12" t="n">
        <v>2</v>
      </c>
      <c r="G12" t="inlineStr"/>
    </row>
    <row r="13">
      <c r="A13" t="inlineStr">
        <is>
          <t>Engines and gensets growth (%) - Base</t>
        </is>
      </c>
      <c r="B13" t="n">
        <v>10</v>
      </c>
      <c r="C13" t="n">
        <v>10</v>
      </c>
      <c r="D13" t="n">
        <v>8</v>
      </c>
      <c r="E13" t="n">
        <v>6</v>
      </c>
      <c r="F13" t="n">
        <v>8</v>
      </c>
      <c r="G13" t="inlineStr">
        <is>
          <t>ANALYST JUDGMENT, well below the FY2023-26 CAGR of 30.7% (633.84 -&gt; 1,414.29, note 3.7.1); Power Solutions crossed Rs 1,000 crore 'for the second year' (chairman).</t>
        </is>
      </c>
    </row>
    <row r="14">
      <c r="A14" t="inlineStr">
        <is>
          <t>Engines and gensets growth (%) - Bull</t>
        </is>
      </c>
      <c r="B14" t="n">
        <v>10</v>
      </c>
      <c r="C14" t="n">
        <v>10</v>
      </c>
      <c r="D14" t="n">
        <v>8</v>
      </c>
      <c r="E14" t="n">
        <v>6</v>
      </c>
      <c r="F14" t="n">
        <v>8</v>
      </c>
      <c r="G14" t="inlineStr"/>
    </row>
    <row r="15">
      <c r="A15" t="inlineStr">
        <is>
          <t>Engines and gensets growth (%) - Bear / rating stress</t>
        </is>
      </c>
      <c r="B15" t="n">
        <v>3</v>
      </c>
      <c r="C15" t="n">
        <v>-5</v>
      </c>
      <c r="D15" t="n">
        <v>0</v>
      </c>
      <c r="E15" t="n">
        <v>5</v>
      </c>
      <c r="F15" t="n">
        <v>5</v>
      </c>
      <c r="G15" t="inlineStr"/>
    </row>
    <row r="16">
      <c r="A16" t="inlineStr">
        <is>
          <t>Engines and gensets growth (%) - Tail (FY2019-21 repeat)</t>
        </is>
      </c>
      <c r="B16" t="n">
        <v>-15</v>
      </c>
      <c r="C16" t="n">
        <v>-5</v>
      </c>
      <c r="D16" t="n">
        <v>15</v>
      </c>
      <c r="E16" t="n">
        <v>15</v>
      </c>
      <c r="F16" t="n">
        <v>8</v>
      </c>
      <c r="G16" t="inlineStr"/>
    </row>
    <row r="17">
      <c r="A17" t="inlineStr">
        <is>
          <t>Spare parts and others growth (%) - Base</t>
        </is>
      </c>
      <c r="B17" t="n">
        <v>8</v>
      </c>
      <c r="C17" t="n">
        <v>8</v>
      </c>
      <c r="D17" t="n">
        <v>7</v>
      </c>
      <c r="E17" t="n">
        <v>5</v>
      </c>
      <c r="F17" t="n">
        <v>7</v>
      </c>
      <c r="G17" t="inlineStr">
        <is>
          <t>ANALYST JUDGMENT, below the FY2023-26 CAGR of 20.0% (2,577.88 -&gt; 4,450.37, note 3.7.1).</t>
        </is>
      </c>
    </row>
    <row r="18">
      <c r="A18" t="inlineStr">
        <is>
          <t>Spare parts and others growth (%) - Bull</t>
        </is>
      </c>
      <c r="B18" t="n">
        <v>8</v>
      </c>
      <c r="C18" t="n">
        <v>8</v>
      </c>
      <c r="D18" t="n">
        <v>7</v>
      </c>
      <c r="E18" t="n">
        <v>5</v>
      </c>
      <c r="F18" t="n">
        <v>7</v>
      </c>
      <c r="G18" t="inlineStr"/>
    </row>
    <row r="19">
      <c r="A19" t="inlineStr">
        <is>
          <t>Spare parts and others growth (%) - Bear / rating stress</t>
        </is>
      </c>
      <c r="B19" t="n">
        <v>3</v>
      </c>
      <c r="C19" t="n">
        <v>-5</v>
      </c>
      <c r="D19" t="n">
        <v>0</v>
      </c>
      <c r="E19" t="n">
        <v>5</v>
      </c>
      <c r="F19" t="n">
        <v>5</v>
      </c>
      <c r="G19" t="inlineStr"/>
    </row>
    <row r="20">
      <c r="A20" t="inlineStr">
        <is>
          <t>Spare parts and others growth (%) - Tail (FY2019-21 repeat)</t>
        </is>
      </c>
      <c r="B20" t="n">
        <v>-15</v>
      </c>
      <c r="C20" t="n">
        <v>-5</v>
      </c>
      <c r="D20" t="n">
        <v>15</v>
      </c>
      <c r="E20" t="n">
        <v>15</v>
      </c>
      <c r="F20" t="n">
        <v>8</v>
      </c>
      <c r="G20" t="inlineStr"/>
    </row>
    <row r="21">
      <c r="A21" t="inlineStr">
        <is>
          <t>Castings / services / scrap / other operating revenue growth (%) - Base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inlineStr">
        <is>
          <t>ANALYST JUDGMENT - roughly inflation; FY2023-26 services grew 1,106.88 -&gt; 1,257.11.</t>
        </is>
      </c>
    </row>
    <row r="22">
      <c r="A22" t="inlineStr">
        <is>
          <t>Castings / services / scrap / other operating revenue growth (%) - Bull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inlineStr"/>
    </row>
    <row r="23">
      <c r="A23" t="inlineStr">
        <is>
          <t>Castings / services / scrap / other operating revenue growth (%) - Bear / rating stress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inlineStr"/>
    </row>
    <row r="24">
      <c r="A24" t="inlineStr">
        <is>
          <t>Castings / services / scrap / other operating revenue growth (%) - Tail (FY2019-21 repeat)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inlineStr"/>
    </row>
    <row r="25">
      <c r="A25" t="inlineStr">
        <is>
          <t>OPBDITA margin (%) - Base</t>
        </is>
      </c>
      <c r="B25" t="n">
        <v>13</v>
      </c>
      <c r="C25" t="n">
        <v>13</v>
      </c>
      <c r="D25" t="n">
        <v>12.5</v>
      </c>
      <c r="E25" t="n">
        <v>11.5</v>
      </c>
      <c r="F25" t="n">
        <v>12.5</v>
      </c>
      <c r="G25" t="inlineStr">
        <is>
          <t>ANALYST JUDGMENT anchored on FY2026 actual 13.03% (engine). Management's 'mid-teen EBITDA in the medium term' (Q1 FY2025 press release) is used only in the Bull case.</t>
        </is>
      </c>
    </row>
    <row r="26">
      <c r="A26" t="inlineStr">
        <is>
          <t>OPBDITA margin (%) - Bull</t>
        </is>
      </c>
      <c r="B26" t="n">
        <v>13.5</v>
      </c>
      <c r="C26" t="n">
        <v>14</v>
      </c>
      <c r="D26" t="n">
        <v>14.5</v>
      </c>
      <c r="E26" t="n">
        <v>14.5</v>
      </c>
      <c r="F26" t="n">
        <v>14.5</v>
      </c>
      <c r="G26" t="inlineStr"/>
    </row>
    <row r="27">
      <c r="A27" t="inlineStr">
        <is>
          <t>OPBDITA margin (%) - Bear / rating stress</t>
        </is>
      </c>
      <c r="B27" t="n">
        <v>10.5</v>
      </c>
      <c r="C27" t="n">
        <v>6</v>
      </c>
      <c r="D27" t="n">
        <v>7.5</v>
      </c>
      <c r="E27" t="n">
        <v>10</v>
      </c>
      <c r="F27" t="n">
        <v>11</v>
      </c>
      <c r="G27" t="inlineStr"/>
    </row>
    <row r="28">
      <c r="A28" t="inlineStr">
        <is>
          <t>OPBDITA margin (%) - Tail (FY2019-21 repeat)</t>
        </is>
      </c>
      <c r="B28" t="n">
        <v>6</v>
      </c>
      <c r="C28" t="n">
        <v>3</v>
      </c>
      <c r="D28" t="n">
        <v>8</v>
      </c>
      <c r="E28" t="n">
        <v>11</v>
      </c>
      <c r="F28" t="n">
        <v>12.5</v>
      </c>
      <c r="G28" t="inlineStr"/>
    </row>
    <row r="29">
      <c r="A29" t="inlineStr">
        <is>
          <t>Employee cost growth (%) - Base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inlineStr">
        <is>
          <t>ANALYST JUDGMENT. FY2023-26: 2,113.86 -&gt; 2,606.69 (7.2% CAGR).</t>
        </is>
      </c>
    </row>
    <row r="30">
      <c r="A30" t="inlineStr">
        <is>
          <t>Employee cost growth (%) - Bull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inlineStr"/>
    </row>
    <row r="31">
      <c r="A31" t="inlineStr">
        <is>
          <t>Employee cost growth (%) - Bear / rating stress</t>
        </is>
      </c>
      <c r="B31" t="n">
        <v>4</v>
      </c>
      <c r="C31" t="n">
        <v>0</v>
      </c>
      <c r="D31" t="n">
        <v>0</v>
      </c>
      <c r="E31" t="n">
        <v>4</v>
      </c>
      <c r="F31" t="n">
        <v>5</v>
      </c>
      <c r="G31" t="inlineStr"/>
    </row>
    <row r="32">
      <c r="A32" t="inlineStr">
        <is>
          <t>Employee cost growth (%) - Tail (FY2019-21 repeat)</t>
        </is>
      </c>
      <c r="B32" t="n">
        <v>0</v>
      </c>
      <c r="C32" t="n">
        <v>0</v>
      </c>
      <c r="D32" t="n">
        <v>3</v>
      </c>
      <c r="E32" t="n">
        <v>5</v>
      </c>
      <c r="F32" t="n">
        <v>5</v>
      </c>
      <c r="G32" t="inlineStr"/>
    </row>
    <row r="33">
      <c r="A33" t="inlineStr">
        <is>
          <t>Capex (Rs crore) - Base</t>
        </is>
      </c>
      <c r="B33" t="n">
        <v>1200</v>
      </c>
      <c r="C33" t="n">
        <v>1150</v>
      </c>
      <c r="D33" t="n">
        <v>1100</v>
      </c>
      <c r="E33" t="n">
        <v>1000</v>
      </c>
      <c r="F33" t="n">
        <v>1100</v>
      </c>
      <c r="G33" t="inlineStr">
        <is>
          <t>ANALYST JUDGMENT. FY2026 actual Rs 1,050 crore (Board's report: Lucknow greenfield bus plant, alternate-fuel vehicles, digital, plant infrastructure); capital commitments Rs 460.19 crore (note 3.10).</t>
        </is>
      </c>
    </row>
    <row r="34">
      <c r="A34" t="inlineStr">
        <is>
          <t>Capex (Rs crore) - Bull</t>
        </is>
      </c>
      <c r="B34" t="n">
        <v>1200</v>
      </c>
      <c r="C34" t="n">
        <v>1150</v>
      </c>
      <c r="D34" t="n">
        <v>1100</v>
      </c>
      <c r="E34" t="n">
        <v>1000</v>
      </c>
      <c r="F34" t="n">
        <v>1100</v>
      </c>
      <c r="G34" t="inlineStr"/>
    </row>
    <row r="35">
      <c r="A35" t="inlineStr">
        <is>
          <t>Capex (Rs crore) - Bear / rating stress</t>
        </is>
      </c>
      <c r="B35" t="n">
        <v>1000</v>
      </c>
      <c r="C35" t="n">
        <v>800</v>
      </c>
      <c r="D35" t="n">
        <v>800</v>
      </c>
      <c r="E35" t="n">
        <v>900</v>
      </c>
      <c r="F35" t="n">
        <v>1000</v>
      </c>
      <c r="G35" t="inlineStr"/>
    </row>
    <row r="36">
      <c r="A36" t="inlineStr">
        <is>
          <t>Capex (Rs crore) - Tail (FY2019-21 repeat)</t>
        </is>
      </c>
      <c r="B36" t="n">
        <v>900</v>
      </c>
      <c r="C36" t="n">
        <v>700</v>
      </c>
      <c r="D36" t="n">
        <v>800</v>
      </c>
      <c r="E36" t="n">
        <v>1000</v>
      </c>
      <c r="F36" t="n">
        <v>1100</v>
      </c>
      <c r="G36" t="inlineStr"/>
    </row>
    <row r="37">
      <c r="A37" t="inlineStr">
        <is>
          <t>Equity support to subsidiaries (Rs crore) - Base</t>
        </is>
      </c>
      <c r="B37" t="n">
        <v>500</v>
      </c>
      <c r="C37" t="n">
        <v>500</v>
      </c>
      <c r="D37" t="n">
        <v>400</v>
      </c>
      <c r="E37" t="n">
        <v>400</v>
      </c>
      <c r="F37" t="n">
        <v>400</v>
      </c>
      <c r="G37" t="inlineStr">
        <is>
          <t>ANALYST JUDGMENT. FY2024-26 actual 1,567.02 / 717.06 / 386.28 (engine; Optare/Switch, OHM, HLF). Bear/Tail add a Hinduja Leyland Finance capital call and continued EV losses (ICRA 1006: 'capital requirements for the captive finance business').</t>
        </is>
      </c>
    </row>
    <row r="38">
      <c r="A38" t="inlineStr">
        <is>
          <t>Equity support to subsidiaries (Rs crore) - Bull</t>
        </is>
      </c>
      <c r="B38" t="n">
        <v>300</v>
      </c>
      <c r="C38" t="n">
        <v>300</v>
      </c>
      <c r="D38" t="n">
        <v>300</v>
      </c>
      <c r="E38" t="n">
        <v>300</v>
      </c>
      <c r="F38" t="n">
        <v>300</v>
      </c>
      <c r="G38" t="inlineStr"/>
    </row>
    <row r="39">
      <c r="A39" t="inlineStr">
        <is>
          <t>Equity support to subsidiaries (Rs crore) - Bear / rating stress</t>
        </is>
      </c>
      <c r="B39" t="n">
        <v>1000</v>
      </c>
      <c r="C39" t="n">
        <v>1000</v>
      </c>
      <c r="D39" t="n">
        <v>1000</v>
      </c>
      <c r="E39" t="n">
        <v>500</v>
      </c>
      <c r="F39" t="n">
        <v>500</v>
      </c>
      <c r="G39" t="inlineStr"/>
    </row>
    <row r="40">
      <c r="A40" t="inlineStr">
        <is>
          <t>Equity support to subsidiaries (Rs crore) - Tail (FY2019-21 repeat)</t>
        </is>
      </c>
      <c r="B40" t="n">
        <v>1000</v>
      </c>
      <c r="C40" t="n">
        <v>1000</v>
      </c>
      <c r="D40" t="n">
        <v>1000</v>
      </c>
      <c r="E40" t="n">
        <v>500</v>
      </c>
      <c r="F40" t="n">
        <v>500</v>
      </c>
      <c r="G40" t="inlineStr"/>
    </row>
    <row r="41">
      <c r="A41" t="inlineStr">
        <is>
          <t>Export units - Base</t>
        </is>
      </c>
      <c r="B41" t="n">
        <v>19500</v>
      </c>
      <c r="C41" t="n">
        <v>21000</v>
      </c>
      <c r="D41" t="n">
        <v>22500</v>
      </c>
      <c r="E41" t="n">
        <v>23500</v>
      </c>
      <c r="F41" t="n">
        <v>25000</v>
      </c>
      <c r="G41" t="inlineStr">
        <is>
          <t>Chairman's letter: 'a clear ambition to reach 25,000 export units in the near term' (FY2026: 18,082). Base reaches 25,000 by FY2031 - slower than the ambition.</t>
        </is>
      </c>
    </row>
    <row r="42">
      <c r="A42" t="inlineStr">
        <is>
          <t>Export units - Bull</t>
        </is>
      </c>
      <c r="B42" t="n">
        <v>20000</v>
      </c>
      <c r="C42" t="n">
        <v>22500</v>
      </c>
      <c r="D42" t="n">
        <v>25000</v>
      </c>
      <c r="E42" t="n">
        <v>27000</v>
      </c>
      <c r="F42" t="n">
        <v>29000</v>
      </c>
      <c r="G42" t="inlineStr"/>
    </row>
    <row r="43">
      <c r="A43" t="inlineStr">
        <is>
          <t>Export units - Bear / rating stress</t>
        </is>
      </c>
      <c r="B43" t="n">
        <v>18000</v>
      </c>
      <c r="C43" t="n">
        <v>15500</v>
      </c>
      <c r="D43" t="n">
        <v>15000</v>
      </c>
      <c r="E43" t="n">
        <v>17000</v>
      </c>
      <c r="F43" t="n">
        <v>19000</v>
      </c>
      <c r="G43" t="inlineStr"/>
    </row>
    <row r="44">
      <c r="A44" t="inlineStr">
        <is>
          <t>Export units - Tail (FY2019-21 repeat)</t>
        </is>
      </c>
      <c r="B44" t="n">
        <v>14000</v>
      </c>
      <c r="C44" t="n">
        <v>12000</v>
      </c>
      <c r="D44" t="n">
        <v>14000</v>
      </c>
      <c r="E44" t="n">
        <v>17000</v>
      </c>
      <c r="F44" t="n">
        <v>19000</v>
      </c>
      <c r="G44" t="inlineStr"/>
    </row>
    <row r="45">
      <c r="A45" t="inlineStr">
        <is>
          <t>Outside-India share of contract revenue (%) - Base</t>
        </is>
      </c>
      <c r="B45" t="n">
        <v>7.5</v>
      </c>
      <c r="C45" t="n">
        <v>8</v>
      </c>
      <c r="D45" t="n">
        <v>8.5</v>
      </c>
      <c r="E45" t="n">
        <v>9</v>
      </c>
      <c r="F45" t="n">
        <v>9.5</v>
      </c>
      <c r="G45" t="inlineStr">
        <is>
          <t>FY2026 actual 7.03% (3,090.13 / 43,936.35, note 3.7.1); rises with exports.</t>
        </is>
      </c>
    </row>
    <row r="46">
      <c r="A46" t="inlineStr">
        <is>
          <t>Outside-India share of contract revenue (%) - Bull</t>
        </is>
      </c>
      <c r="B46" t="n">
        <v>7.8</v>
      </c>
      <c r="C46" t="n">
        <v>8.5</v>
      </c>
      <c r="D46" t="n">
        <v>9.199999999999999</v>
      </c>
      <c r="E46" t="n">
        <v>9.800000000000001</v>
      </c>
      <c r="F46" t="n">
        <v>10.4</v>
      </c>
      <c r="G46" t="inlineStr"/>
    </row>
    <row r="47">
      <c r="A47" t="inlineStr">
        <is>
          <t>Outside-India share of contract revenue (%) - Bear / rating stress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inlineStr"/>
    </row>
    <row r="48">
      <c r="A48" t="inlineStr">
        <is>
          <t>Outside-India share of contract revenue (%) - Tail (FY2019-21 repeat)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inlineStr"/>
    </row>
    <row r="50">
      <c r="A50" s="2" t="inlineStr">
        <is>
          <t>Fixed driver</t>
        </is>
      </c>
      <c r="B50" s="2" t="inlineStr">
        <is>
          <t>Value</t>
        </is>
      </c>
      <c r="C50" s="2" t="inlineStr"/>
      <c r="D50" s="2" t="inlineStr"/>
      <c r="E50" s="2" t="inlineStr"/>
      <c r="F50" s="2" t="inlineStr"/>
      <c r="G50" s="2" t="inlineStr">
        <is>
          <t>Source / basis</t>
        </is>
      </c>
    </row>
    <row r="51">
      <c r="A51" t="inlineStr">
        <is>
          <t>Rebates and discounts (% of gross revenue)</t>
        </is>
      </c>
      <c r="B51" t="n">
        <v>1.78</v>
      </c>
      <c r="C51" t="inlineStr"/>
      <c r="D51" t="inlineStr"/>
      <c r="E51" t="inlineStr"/>
      <c r="F51" t="inlineStr"/>
      <c r="G51" t="inlineStr">
        <is>
          <t>FY2026 actual 794.91 / 44,731.26 = 1.78% (note 2.1).</t>
        </is>
      </c>
    </row>
    <row r="52">
      <c r="A52" t="inlineStr">
        <is>
          <t>Export incentives (% of contract revenue)</t>
        </is>
      </c>
      <c r="B52" t="n">
        <v>0.16</v>
      </c>
      <c r="C52" t="inlineStr"/>
      <c r="D52" t="inlineStr"/>
      <c r="E52" t="inlineStr"/>
      <c r="F52" t="inlineStr"/>
      <c r="G52" t="inlineStr">
        <is>
          <t>FY2026 actual 70.68 / 43,936.35 (note 2.1).</t>
        </is>
      </c>
    </row>
    <row r="53">
      <c r="A53" t="inlineStr">
        <is>
          <t>Other expenses (% of revenue)</t>
        </is>
      </c>
      <c r="B53" t="n">
        <v>9.66</v>
      </c>
      <c r="C53" t="inlineStr"/>
      <c r="D53" t="inlineStr"/>
      <c r="E53" t="inlineStr"/>
      <c r="F53" t="inlineStr"/>
      <c r="G53" t="inlineStr">
        <is>
          <t>FY2026 actual 4,250.95 / 44,007.03.</t>
        </is>
      </c>
    </row>
    <row r="54">
      <c r="A54" t="inlineStr">
        <is>
          <t>Inventory (% of revenue)</t>
        </is>
      </c>
      <c r="B54" t="n">
        <v>7.92</v>
      </c>
      <c r="C54" t="inlineStr"/>
      <c r="D54" t="inlineStr"/>
      <c r="E54" t="inlineStr"/>
      <c r="F54" t="inlineStr"/>
      <c r="G54" t="inlineStr">
        <is>
          <t>FY2026 actual 3,486.02 / 44,007.03.</t>
        </is>
      </c>
    </row>
    <row r="55">
      <c r="A55" t="inlineStr">
        <is>
          <t>Trade receivables (% of revenue)</t>
        </is>
      </c>
      <c r="B55" t="n">
        <v>6.7</v>
      </c>
      <c r="C55" t="inlineStr"/>
      <c r="D55" t="inlineStr"/>
      <c r="E55" t="inlineStr"/>
      <c r="F55" t="inlineStr"/>
      <c r="G55" t="inlineStr">
        <is>
          <t>FY2026 actual 2,950.41 / 44,007.03.</t>
        </is>
      </c>
    </row>
    <row r="56">
      <c r="A56" t="inlineStr">
        <is>
          <t>Trade payables (% of revenue)</t>
        </is>
      </c>
      <c r="B56" t="n">
        <v>18.93</v>
      </c>
      <c r="C56" t="inlineStr"/>
      <c r="D56" t="inlineStr"/>
      <c r="E56" t="inlineStr"/>
      <c r="F56" t="inlineStr"/>
      <c r="G56" t="inlineStr">
        <is>
          <t>FY2026 actual 8,329.26 / 44,007.03.</t>
        </is>
      </c>
    </row>
    <row r="57">
      <c r="A57" t="inlineStr">
        <is>
          <t>Treasury yield on opening free liquidity (%)</t>
        </is>
      </c>
      <c r="B57" t="n">
        <v>5</v>
      </c>
      <c r="C57" t="inlineStr"/>
      <c r="D57" t="inlineStr"/>
      <c r="E57" t="inlineStr"/>
      <c r="F57" t="inlineStr"/>
      <c r="G57" t="inlineStr">
        <is>
          <t>FY2026 other income 315.17 / average free liquidity 6,314.66 = 4.99%.</t>
        </is>
      </c>
    </row>
    <row r="58">
      <c r="A58" t="inlineStr">
        <is>
          <t>Interest rate on borrowings (%)</t>
        </is>
      </c>
      <c r="B58" t="n">
        <v>6.3</v>
      </c>
      <c r="C58" t="inlineStr"/>
      <c r="D58" t="inlineStr"/>
      <c r="E58" t="inlineStr"/>
      <c r="F58" t="inlineStr"/>
      <c r="G58" t="inlineStr">
        <is>
          <t>FY2026 AR: 'weighted average rate of interest of the borrowing is around 6.30% p.a' (short-term bank loan note); applied to all borrowings - analyst simplification.</t>
        </is>
      </c>
    </row>
    <row r="59">
      <c r="A59" t="inlineStr">
        <is>
          <t>Non-cash finance cost: unwinding of discount (Rs crore)</t>
        </is>
      </c>
      <c r="B59" t="n">
        <v>95.69</v>
      </c>
      <c r="C59" t="inlineStr"/>
      <c r="D59" t="inlineStr"/>
      <c r="E59" t="inlineStr"/>
      <c r="F59" t="inlineStr"/>
      <c r="G59" t="inlineStr">
        <is>
          <t>FY2026 note 2.5; held flat and treated as cash (conservative).</t>
        </is>
      </c>
    </row>
    <row r="60">
      <c r="A60" t="inlineStr">
        <is>
          <t>Lease interest (Rs crore)</t>
        </is>
      </c>
      <c r="B60" t="n">
        <v>3.99</v>
      </c>
      <c r="C60" t="inlineStr"/>
      <c r="D60" t="inlineStr"/>
      <c r="E60" t="inlineStr"/>
      <c r="F60" t="inlineStr"/>
      <c r="G60" t="inlineStr">
        <is>
          <t>FY2026 note 2.5; leases held flat at Rs 43.34 crore.</t>
        </is>
      </c>
    </row>
    <row r="61">
      <c r="A61" t="inlineStr">
        <is>
          <t>Effective tax rate (%)</t>
        </is>
      </c>
      <c r="B61" t="n">
        <v>25.5</v>
      </c>
      <c r="C61" t="inlineStr"/>
      <c r="D61" t="inlineStr"/>
      <c r="E61" t="inlineStr"/>
      <c r="F61" t="inlineStr"/>
      <c r="G61" t="inlineStr">
        <is>
          <t>FY2026 actual 1,248.49 / 4,814.02 = 25.9%; statutory 25.17%.</t>
        </is>
      </c>
    </row>
    <row r="62">
      <c r="A62" t="inlineStr">
        <is>
          <t>Dividend: committed FY2027 outflow (Rs crore)</t>
        </is>
      </c>
      <c r="B62" t="n">
        <v>1468.46</v>
      </c>
      <c r="C62" t="inlineStr"/>
      <c r="D62" t="inlineStr"/>
      <c r="E62" t="inlineStr"/>
      <c r="F62" t="inlineStr"/>
      <c r="G62" t="inlineStr">
        <is>
          <t>2nd interim Rs 2.50/share declared 28-May-2026, outflow Rs 1,468.46 crore (FY2026 AR).</t>
        </is>
      </c>
    </row>
    <row r="63">
      <c r="A63" t="inlineStr">
        <is>
          <t>Dividend: FY2027 interim (Rs/share) and later payout (% of prior-year PAT)</t>
        </is>
      </c>
      <c r="B63" t="inlineStr">
        <is>
          <t>1.00 / 55%</t>
        </is>
      </c>
      <c r="C63" t="inlineStr"/>
      <c r="D63" t="inlineStr"/>
      <c r="E63" t="inlineStr"/>
      <c r="F63" t="inlineStr"/>
      <c r="G63" t="inlineStr">
        <is>
          <t>FY2026 pattern: Rs 1 interim + Rs 2.50 second interim = 57.7% of FY2026 PAT; Bear/Tail cut to no interim and 30% payout (policy response, analyst judgment).</t>
        </is>
      </c>
    </row>
    <row r="64">
      <c r="A64" t="inlineStr">
        <is>
          <t>Scheduled repayments (Rs crore)</t>
        </is>
      </c>
      <c r="B64" t="inlineStr">
        <is>
          <t>483.82, then 129.47 x4</t>
        </is>
      </c>
      <c r="C64" t="inlineStr"/>
      <c r="D64" t="inlineStr"/>
      <c r="E64" t="inlineStr"/>
      <c r="F64" t="inlineStr"/>
      <c r="G64" t="inlineStr">
        <is>
          <t>FY2027 = current maturities 483.82 (note 1.21: term loans 279.25 + NCD 200.00 bullet 17-Mar-2027 + sales-tax 4.91). FY2028-31 = the non-current 517.88 (term loans 456.38 + sales-tax 61.50) spread evenly - the schedule's own instalments are uneven; approximation.</t>
        </is>
      </c>
    </row>
    <row r="65">
      <c r="A65" t="inlineStr">
        <is>
          <t>Liquidity floor before new borrowing (Rs crore)</t>
        </is>
      </c>
      <c r="B65" t="n">
        <v>1500</v>
      </c>
      <c r="C65" t="inlineStr"/>
      <c r="D65" t="inlineStr"/>
      <c r="E65" t="inlineStr"/>
      <c r="F65" t="inlineStr"/>
      <c r="G65" t="inlineStr">
        <is>
          <t>ANALYST JUDGMENT: ~2.5 weeks of FY2026 cost of goods sold (31,417.14 / 52 x 2.5). Any shortfall below it is borrowed (failure mode 18: debt DERIVED from the funding gap).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3" t="inlineStr">
        <is>
          <t>Rs crore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FY2026</t>
        </is>
      </c>
      <c r="F1" s="3" t="inlineStr">
        <is>
          <t>FY2027E</t>
        </is>
      </c>
      <c r="G1" s="3" t="inlineStr">
        <is>
          <t>FY2028E</t>
        </is>
      </c>
      <c r="H1" s="3" t="inlineStr">
        <is>
          <t>FY2029E</t>
        </is>
      </c>
      <c r="I1" s="3" t="inlineStr">
        <is>
          <t>FY2030E</t>
        </is>
      </c>
      <c r="J1" s="3" t="inlineStr">
        <is>
          <t>FY2031E</t>
        </is>
      </c>
      <c r="K1" s="3" t="inlineStr">
        <is>
          <t>Source / note</t>
        </is>
      </c>
    </row>
    <row r="2">
      <c r="A2" s="4" t="inlineStr">
        <is>
          <t>VOLUMES (units)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t="inlineStr">
        <is>
          <t>Total vehicles</t>
        </is>
      </c>
      <c r="B3" s="6" t="n">
        <v>192205</v>
      </c>
      <c r="C3" s="6" t="n">
        <v>194555</v>
      </c>
      <c r="D3" s="6" t="n">
        <v>195097</v>
      </c>
      <c r="E3" s="6" t="n">
        <v>220437</v>
      </c>
      <c r="F3" s="7" t="n">
        <v>231458.85</v>
      </c>
      <c r="G3" s="7" t="n">
        <v>243031.7925</v>
      </c>
      <c r="H3" s="7" t="n">
        <v>247892.4284</v>
      </c>
      <c r="I3" s="7" t="n">
        <v>237976.7312</v>
      </c>
      <c r="J3" s="7" t="n">
        <v>247495.8005</v>
      </c>
      <c r="K3" t="inlineStr">
        <is>
          <t>ten-year table (FY2026 AR p6)</t>
        </is>
      </c>
    </row>
    <row r="4">
      <c r="A4" t="inlineStr">
        <is>
          <t>of which exports</t>
        </is>
      </c>
      <c r="B4" s="6" t="n"/>
      <c r="C4" s="6" t="n">
        <v>11853</v>
      </c>
      <c r="D4" s="6" t="n">
        <v>15255</v>
      </c>
      <c r="E4" s="6" t="n">
        <v>18082</v>
      </c>
      <c r="F4" s="7" t="n">
        <v>19500</v>
      </c>
      <c r="G4" s="7" t="n">
        <v>21000</v>
      </c>
      <c r="H4" s="7" t="n">
        <v>22500</v>
      </c>
      <c r="I4" s="7" t="n">
        <v>23500</v>
      </c>
      <c r="J4" s="7" t="n">
        <v>25000</v>
      </c>
      <c r="K4" t="inlineStr">
        <is>
          <t>chairman's letters; FY2023 not extracted</t>
        </is>
      </c>
    </row>
    <row r="5">
      <c r="A5" t="inlineStr">
        <is>
          <t>CV realisation per vehicle (Rs lakh)</t>
        </is>
      </c>
      <c r="B5" s="8" t="n">
        <v>16.4647</v>
      </c>
      <c r="C5" s="8" t="n">
        <v>16.8151</v>
      </c>
      <c r="D5" s="8" t="n">
        <v>16.5988</v>
      </c>
      <c r="E5" s="8" t="n">
        <v>16.7136</v>
      </c>
      <c r="F5" s="9" t="n">
        <v>16.9643</v>
      </c>
      <c r="G5" s="9" t="n">
        <v>17.2187</v>
      </c>
      <c r="H5" s="9" t="n">
        <v>17.477</v>
      </c>
      <c r="I5" s="9" t="n">
        <v>17.7392</v>
      </c>
      <c r="J5" s="9" t="n">
        <v>18.0053</v>
      </c>
      <c r="K5" t="inlineStr">
        <is>
          <t>CV revenue / total vehicles (derived)</t>
        </is>
      </c>
    </row>
    <row r="6">
      <c r="A6" s="4" t="inlineStr">
        <is>
          <t>REVENUE BY PRODUCT (note 2.1 / 3.7.1)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t="inlineStr">
        <is>
          <t>Commercial vehicles</t>
        </is>
      </c>
      <c r="B7" s="8" t="n">
        <v>31646.05</v>
      </c>
      <c r="C7" s="8" t="n">
        <v>32714.7</v>
      </c>
      <c r="D7" s="8" t="n">
        <v>32383.69</v>
      </c>
      <c r="E7" s="8" t="n">
        <v>36842.91</v>
      </c>
      <c r="F7" s="9" t="n">
        <v>39265.3313</v>
      </c>
      <c r="G7" s="9" t="n">
        <v>41847.0269</v>
      </c>
      <c r="H7" s="9" t="n">
        <v>43324.2269</v>
      </c>
      <c r="I7" s="9" t="n">
        <v>42215.1267</v>
      </c>
      <c r="J7" s="9" t="n">
        <v>44562.2878</v>
      </c>
      <c r="K7" t="inlineStr">
        <is>
          <t>note 3.7.1 disaggregated revenue</t>
        </is>
      </c>
    </row>
    <row r="8">
      <c r="A8" t="inlineStr">
        <is>
          <t>Engines and gensets</t>
        </is>
      </c>
      <c r="B8" s="8" t="n">
        <v>633.84</v>
      </c>
      <c r="C8" s="8" t="n">
        <v>1006.55</v>
      </c>
      <c r="D8" s="8" t="n">
        <v>1190.17</v>
      </c>
      <c r="E8" s="8" t="n">
        <v>1414.29</v>
      </c>
      <c r="F8" s="9" t="n">
        <v>1555.719</v>
      </c>
      <c r="G8" s="9" t="n">
        <v>1711.2909</v>
      </c>
      <c r="H8" s="9" t="n">
        <v>1848.1942</v>
      </c>
      <c r="I8" s="9" t="n">
        <v>1959.0858</v>
      </c>
      <c r="J8" s="9" t="n">
        <v>2115.8127</v>
      </c>
      <c r="K8" t="inlineStr">
        <is>
          <t>note 3.7.1 disaggregated revenue</t>
        </is>
      </c>
    </row>
    <row r="9">
      <c r="A9" t="inlineStr">
        <is>
          <t>Ferrous castings and patterns</t>
        </is>
      </c>
      <c r="B9" s="8" t="n">
        <v>609.33</v>
      </c>
      <c r="C9" s="8" t="n">
        <v>508.77</v>
      </c>
      <c r="D9" s="8" t="n">
        <v>572.24</v>
      </c>
      <c r="E9" s="8" t="n">
        <v>602.41</v>
      </c>
      <c r="F9" s="9" t="n">
        <v>620.4823</v>
      </c>
      <c r="G9" s="9" t="n">
        <v>639.0968</v>
      </c>
      <c r="H9" s="9" t="n">
        <v>658.2696999999999</v>
      </c>
      <c r="I9" s="9" t="n">
        <v>678.0178</v>
      </c>
      <c r="J9" s="9" t="n">
        <v>698.3583</v>
      </c>
      <c r="K9" t="inlineStr">
        <is>
          <t>note 3.7.1 disaggregated revenue</t>
        </is>
      </c>
    </row>
    <row r="10">
      <c r="A10" t="inlineStr">
        <is>
          <t>Spare parts and others</t>
        </is>
      </c>
      <c r="B10" s="8" t="n">
        <v>2577.88</v>
      </c>
      <c r="C10" s="8" t="n">
        <v>3469.41</v>
      </c>
      <c r="D10" s="8" t="n">
        <v>3977.9</v>
      </c>
      <c r="E10" s="8" t="n">
        <v>4450.37</v>
      </c>
      <c r="F10" s="9" t="n">
        <v>4806.3996</v>
      </c>
      <c r="G10" s="9" t="n">
        <v>5190.9116</v>
      </c>
      <c r="H10" s="9" t="n">
        <v>5554.2754</v>
      </c>
      <c r="I10" s="9" t="n">
        <v>5831.9891</v>
      </c>
      <c r="J10" s="9" t="n">
        <v>6240.2284</v>
      </c>
      <c r="K10" t="inlineStr">
        <is>
          <t>note 3.7.1 disaggregated revenue</t>
        </is>
      </c>
    </row>
    <row r="11">
      <c r="A11" t="inlineStr">
        <is>
          <t>Sale of services</t>
        </is>
      </c>
      <c r="B11" s="8" t="n">
        <v>1106.88</v>
      </c>
      <c r="C11" s="8" t="n">
        <v>1209.86</v>
      </c>
      <c r="D11" s="8" t="n">
        <v>1264.42</v>
      </c>
      <c r="E11" s="8" t="n">
        <v>1257.11</v>
      </c>
      <c r="F11" s="9" t="n">
        <v>1294.8233</v>
      </c>
      <c r="G11" s="9" t="n">
        <v>1333.668</v>
      </c>
      <c r="H11" s="9" t="n">
        <v>1373.678</v>
      </c>
      <c r="I11" s="9" t="n">
        <v>1414.8884</v>
      </c>
      <c r="J11" s="9" t="n">
        <v>1457.335</v>
      </c>
      <c r="K11" t="inlineStr">
        <is>
          <t>note 3.7.1 disaggregated revenue</t>
        </is>
      </c>
    </row>
    <row r="12">
      <c r="A12" t="inlineStr">
        <is>
          <t>Scrap sales</t>
        </is>
      </c>
      <c r="B12" s="8" t="n">
        <v>108.56</v>
      </c>
      <c r="C12" s="8" t="n">
        <v>114.04</v>
      </c>
      <c r="D12" s="8" t="n">
        <v>96.8</v>
      </c>
      <c r="E12" s="8" t="n">
        <v>110.63</v>
      </c>
      <c r="F12" s="9" t="n">
        <v>113.9489</v>
      </c>
      <c r="G12" s="9" t="n">
        <v>117.3674</v>
      </c>
      <c r="H12" s="9" t="n">
        <v>120.8884</v>
      </c>
      <c r="I12" s="9" t="n">
        <v>124.515</v>
      </c>
      <c r="J12" s="9" t="n">
        <v>128.2505</v>
      </c>
      <c r="K12" t="inlineStr">
        <is>
          <t>note 3.7.1 disaggregated revenue</t>
        </is>
      </c>
    </row>
    <row r="13">
      <c r="A13" t="inlineStr">
        <is>
          <t>Other operating revenue - others</t>
        </is>
      </c>
      <c r="B13" s="8" t="n">
        <v>11.11</v>
      </c>
      <c r="C13" s="8" t="n">
        <v>15.68</v>
      </c>
      <c r="D13" s="8" t="n">
        <v>23</v>
      </c>
      <c r="E13" s="8" t="n">
        <v>53.54</v>
      </c>
      <c r="F13" s="9" t="n">
        <v>55.1462</v>
      </c>
      <c r="G13" s="9" t="n">
        <v>56.8006</v>
      </c>
      <c r="H13" s="9" t="n">
        <v>58.5046</v>
      </c>
      <c r="I13" s="9" t="n">
        <v>60.2597</v>
      </c>
      <c r="J13" s="9" t="n">
        <v>62.0675</v>
      </c>
      <c r="K13" t="inlineStr">
        <is>
          <t>note 3.7.1 disaggregated revenue</t>
        </is>
      </c>
    </row>
    <row r="14">
      <c r="A14" t="inlineStr">
        <is>
          <t>Less: rebates and discounts</t>
        </is>
      </c>
      <c r="B14" s="8" t="n">
        <v>597.05</v>
      </c>
      <c r="C14" s="8" t="n">
        <v>715.52</v>
      </c>
      <c r="D14" s="8" t="n">
        <v>805.5700000000001</v>
      </c>
      <c r="E14" s="8" t="n">
        <v>794.91</v>
      </c>
      <c r="F14" s="9" t="n">
        <v>849.2709</v>
      </c>
      <c r="G14" s="9" t="n">
        <v>905.9517</v>
      </c>
      <c r="H14" s="9" t="n">
        <v>942.2971</v>
      </c>
      <c r="I14" s="9" t="n">
        <v>930.6531</v>
      </c>
      <c r="J14" s="9" t="n">
        <v>983.7053</v>
      </c>
      <c r="K14" t="inlineStr">
        <is>
          <t>note 2.1</t>
        </is>
      </c>
    </row>
    <row r="15">
      <c r="A15" t="inlineStr">
        <is>
          <t>Add: export incentives (+ FY2023 grant income)</t>
        </is>
      </c>
      <c r="B15" s="8" t="n">
        <v>47.54</v>
      </c>
      <c r="C15" s="8" t="n">
        <v>43.54</v>
      </c>
      <c r="D15" s="8" t="n">
        <v>50.09</v>
      </c>
      <c r="E15" s="8" t="n">
        <v>70.68000000000001</v>
      </c>
      <c r="F15" s="9" t="n">
        <v>74.98009999999999</v>
      </c>
      <c r="G15" s="9" t="n">
        <v>79.9843</v>
      </c>
      <c r="H15" s="9" t="n">
        <v>83.1932</v>
      </c>
      <c r="I15" s="9" t="n">
        <v>82.1652</v>
      </c>
      <c r="J15" s="9" t="n">
        <v>86.849</v>
      </c>
      <c r="K15" t="inlineStr">
        <is>
          <t>note 2.1 other operating revenue</t>
        </is>
      </c>
    </row>
    <row r="16">
      <c r="A16" s="10" t="inlineStr">
        <is>
          <t>REVENUE FROM OPERATIONS</t>
        </is>
      </c>
      <c r="B16" s="11" t="n">
        <v>36144.14</v>
      </c>
      <c r="C16" s="11" t="n">
        <v>38367.03</v>
      </c>
      <c r="D16" s="11" t="n">
        <v>38752.74</v>
      </c>
      <c r="E16" s="11" t="n">
        <v>44007.03</v>
      </c>
      <c r="F16" s="12" t="n">
        <v>46937.5598</v>
      </c>
      <c r="G16" s="12" t="n">
        <v>50070.1947</v>
      </c>
      <c r="H16" s="12" t="n">
        <v>52078.9333</v>
      </c>
      <c r="I16" s="12" t="n">
        <v>51435.3947</v>
      </c>
      <c r="J16" s="12" t="n">
        <v>54367.4839</v>
      </c>
      <c r="K16" s="10" t="inlineStr">
        <is>
          <t>ties to the P&amp;L (engine tie-outs)</t>
        </is>
      </c>
    </row>
    <row r="17">
      <c r="A17" s="4" t="inlineStr">
        <is>
          <t>REVENUE BY GEOGRAPHY (contract revenue, note 3.7.1)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t="inlineStr">
        <is>
          <t>India</t>
        </is>
      </c>
      <c r="B18" s="8" t="n">
        <v>34230.04</v>
      </c>
      <c r="C18" s="8" t="n">
        <v>36608.91</v>
      </c>
      <c r="D18" s="8" t="n">
        <v>36571.31</v>
      </c>
      <c r="E18" s="8" t="n">
        <v>40846.22</v>
      </c>
      <c r="F18" s="9" t="n">
        <v>43347.8862</v>
      </c>
      <c r="G18" s="9" t="n">
        <v>45990.9935</v>
      </c>
      <c r="H18" s="9" t="n">
        <v>47576.1022</v>
      </c>
      <c r="I18" s="9" t="n">
        <v>46731.4388</v>
      </c>
      <c r="J18" s="9" t="n">
        <v>49123.9746</v>
      </c>
      <c r="K18" t="inlineStr">
        <is>
          <t>note 3.7.1</t>
        </is>
      </c>
    </row>
    <row r="19">
      <c r="A19" t="inlineStr">
        <is>
          <t>Outside India</t>
        </is>
      </c>
      <c r="B19" s="8" t="n">
        <v>1866.56</v>
      </c>
      <c r="C19" s="8" t="n">
        <v>1714.58</v>
      </c>
      <c r="D19" s="8" t="n">
        <v>2131.34</v>
      </c>
      <c r="E19" s="8" t="n">
        <v>3090.13</v>
      </c>
      <c r="F19" s="9" t="n">
        <v>3514.6935</v>
      </c>
      <c r="G19" s="9" t="n">
        <v>3999.2168</v>
      </c>
      <c r="H19" s="9" t="n">
        <v>4419.6379</v>
      </c>
      <c r="I19" s="9" t="n">
        <v>4621.7907</v>
      </c>
      <c r="J19" s="9" t="n">
        <v>5156.6603</v>
      </c>
      <c r="K19" t="inlineStr">
        <is>
          <t>note 3.7.1</t>
        </is>
      </c>
    </row>
    <row r="20">
      <c r="A20" t="inlineStr">
        <is>
          <t>Revenue growth (%)</t>
        </is>
      </c>
      <c r="B20" s="8" t="n"/>
      <c r="C20" s="8" t="n">
        <v>6.1501</v>
      </c>
      <c r="D20" s="8" t="n">
        <v>1.0053</v>
      </c>
      <c r="E20" s="8" t="n">
        <v>13.5585</v>
      </c>
      <c r="F20" s="9" t="n">
        <v>6.6592</v>
      </c>
      <c r="G20" s="9" t="n">
        <v>6.674</v>
      </c>
      <c r="H20" s="9" t="n">
        <v>4.0118</v>
      </c>
      <c r="I20" s="9" t="n">
        <v>-1.2357</v>
      </c>
      <c r="J20" s="9" t="n">
        <v>5.7005</v>
      </c>
      <c r="K20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3" t="inlineStr">
        <is>
          <t>Rs crore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FY2026</t>
        </is>
      </c>
      <c r="F1" s="3" t="inlineStr">
        <is>
          <t>FY2027E</t>
        </is>
      </c>
      <c r="G1" s="3" t="inlineStr">
        <is>
          <t>FY2028E</t>
        </is>
      </c>
      <c r="H1" s="3" t="inlineStr">
        <is>
          <t>FY2029E</t>
        </is>
      </c>
      <c r="I1" s="3" t="inlineStr">
        <is>
          <t>FY2030E</t>
        </is>
      </c>
      <c r="J1" s="3" t="inlineStr">
        <is>
          <t>FY2031E</t>
        </is>
      </c>
      <c r="K1" s="3" t="inlineStr">
        <is>
          <t>Source / note</t>
        </is>
      </c>
    </row>
    <row r="2">
      <c r="A2" s="10" t="inlineStr">
        <is>
          <t>Revenue from operations</t>
        </is>
      </c>
      <c r="B2" s="11" t="n">
        <v>36144.14</v>
      </c>
      <c r="C2" s="11" t="n">
        <v>38367.03</v>
      </c>
      <c r="D2" s="11" t="n">
        <v>38752.74</v>
      </c>
      <c r="E2" s="11" t="n">
        <v>44007.03</v>
      </c>
      <c r="F2" s="12" t="n">
        <v>46937.5598</v>
      </c>
      <c r="G2" s="12" t="n">
        <v>50070.1947</v>
      </c>
      <c r="H2" s="12" t="n">
        <v>52078.9333</v>
      </c>
      <c r="I2" s="12" t="n">
        <v>51435.3947</v>
      </c>
      <c r="J2" s="12" t="n">
        <v>54367.4839</v>
      </c>
      <c r="K2" s="10" t="inlineStr">
        <is>
          <t>P&amp;L</t>
        </is>
      </c>
    </row>
    <row r="3">
      <c r="A3" t="inlineStr">
        <is>
          <t>Cost of goods sold (materials + purchases + inventory change)</t>
        </is>
      </c>
      <c r="B3" s="8" t="n">
        <v>27849.15</v>
      </c>
      <c r="C3" s="8" t="n">
        <v>27912.01</v>
      </c>
      <c r="D3" s="8" t="n">
        <v>27622.78</v>
      </c>
      <c r="E3" s="8" t="n">
        <v>31417.14</v>
      </c>
      <c r="F3" s="9" t="n">
        <v>33512.3505</v>
      </c>
      <c r="G3" s="9" t="n">
        <v>35739.8892</v>
      </c>
      <c r="H3" s="9" t="n">
        <v>37344.9343</v>
      </c>
      <c r="I3" s="9" t="n">
        <v>37134.8263</v>
      </c>
      <c r="J3" s="9" t="n">
        <v>38663.6319</v>
      </c>
      <c r="K3" t="inlineStr">
        <is>
          <t>P&amp;L; projected = derived residual of the margin assumption</t>
        </is>
      </c>
    </row>
    <row r="4">
      <c r="A4" t="inlineStr">
        <is>
          <t>Employee benefits expense</t>
        </is>
      </c>
      <c r="B4" s="8" t="n">
        <v>2113.86</v>
      </c>
      <c r="C4" s="8" t="n">
        <v>2233.38</v>
      </c>
      <c r="D4" s="8" t="n">
        <v>2406.27</v>
      </c>
      <c r="E4" s="8" t="n">
        <v>2606.69</v>
      </c>
      <c r="F4" s="9" t="n">
        <v>2789.1583</v>
      </c>
      <c r="G4" s="9" t="n">
        <v>2984.3994</v>
      </c>
      <c r="H4" s="9" t="n">
        <v>3193.3073</v>
      </c>
      <c r="I4" s="9" t="n">
        <v>3416.8389</v>
      </c>
      <c r="J4" s="9" t="n">
        <v>3656.0176</v>
      </c>
      <c r="K4" t="inlineStr">
        <is>
          <t>P&amp;L</t>
        </is>
      </c>
    </row>
    <row r="5">
      <c r="A5" t="inlineStr">
        <is>
          <t>Other expenses</t>
        </is>
      </c>
      <c r="B5" s="8" t="n">
        <v>3250.43</v>
      </c>
      <c r="C5" s="8" t="n">
        <v>3615.06</v>
      </c>
      <c r="D5" s="8" t="n">
        <v>3793.13</v>
      </c>
      <c r="E5" s="8" t="n">
        <v>4250.95</v>
      </c>
      <c r="F5" s="9" t="n">
        <v>4534.1683</v>
      </c>
      <c r="G5" s="9" t="n">
        <v>4836.7808</v>
      </c>
      <c r="H5" s="9" t="n">
        <v>5030.825</v>
      </c>
      <c r="I5" s="9" t="n">
        <v>4968.6591</v>
      </c>
      <c r="J5" s="9" t="n">
        <v>5251.8989</v>
      </c>
      <c r="K5" t="inlineStr">
        <is>
          <t>P&amp;L</t>
        </is>
      </c>
    </row>
    <row r="6">
      <c r="A6" s="10" t="inlineStr">
        <is>
          <t>OPBDITA (ICRA: excludes all other income)</t>
        </is>
      </c>
      <c r="B6" s="11" t="n">
        <v>2930.7</v>
      </c>
      <c r="C6" s="11" t="n">
        <v>4606.58</v>
      </c>
      <c r="D6" s="11" t="n">
        <v>4930.56</v>
      </c>
      <c r="E6" s="11" t="n">
        <v>5732.25</v>
      </c>
      <c r="F6" s="12" t="n">
        <v>6101.8828</v>
      </c>
      <c r="G6" s="12" t="n">
        <v>6509.1253</v>
      </c>
      <c r="H6" s="12" t="n">
        <v>6509.8667</v>
      </c>
      <c r="I6" s="12" t="n">
        <v>5915.0704</v>
      </c>
      <c r="J6" s="12" t="n">
        <v>6795.9355</v>
      </c>
      <c r="K6" s="10" t="inlineStr">
        <is>
          <t>revenue less operating costs; ties to the company's published EBITDA</t>
        </is>
      </c>
    </row>
    <row r="7">
      <c r="A7" t="inlineStr">
        <is>
          <t>Other income (treasury, dividends, gains)</t>
        </is>
      </c>
      <c r="B7" s="8" t="n">
        <v>116.14</v>
      </c>
      <c r="C7" s="8" t="n">
        <v>246.57</v>
      </c>
      <c r="D7" s="8" t="n">
        <v>250.25</v>
      </c>
      <c r="E7" s="8" t="n">
        <v>315.17</v>
      </c>
      <c r="F7" s="9" t="n">
        <v>347.54</v>
      </c>
      <c r="G7" s="9" t="n">
        <v>391.4955</v>
      </c>
      <c r="H7" s="9" t="n">
        <v>459.1391</v>
      </c>
      <c r="I7" s="9" t="n">
        <v>526.7137</v>
      </c>
      <c r="J7" s="9" t="n">
        <v>573.8731</v>
      </c>
      <c r="K7" t="inlineStr">
        <is>
          <t>P&amp;L; projected = yield x opening free liquidity</t>
        </is>
      </c>
    </row>
    <row r="8">
      <c r="A8" t="inlineStr">
        <is>
          <t>Depreciation and amortisation</t>
        </is>
      </c>
      <c r="B8" s="8" t="n">
        <v>731.96</v>
      </c>
      <c r="C8" s="8" t="n">
        <v>717.8099999999999</v>
      </c>
      <c r="D8" s="8" t="n">
        <v>719.34</v>
      </c>
      <c r="E8" s="8" t="n">
        <v>715.1900000000001</v>
      </c>
      <c r="F8" s="9" t="n">
        <v>787.2155</v>
      </c>
      <c r="G8" s="9" t="n">
        <v>841.9304</v>
      </c>
      <c r="H8" s="9" t="n">
        <v>882.7653</v>
      </c>
      <c r="I8" s="9" t="n">
        <v>911.5599</v>
      </c>
      <c r="J8" s="9" t="n">
        <v>923.2827</v>
      </c>
      <c r="K8" t="inlineStr">
        <is>
          <t>P&amp;L; projected = FY2026 rate on opening net block</t>
        </is>
      </c>
    </row>
    <row r="9">
      <c r="A9" t="inlineStr">
        <is>
          <t>Finance costs (incl. unwinding of discount)</t>
        </is>
      </c>
      <c r="B9" s="8" t="n">
        <v>289.09</v>
      </c>
      <c r="C9" s="8" t="n">
        <v>249.44</v>
      </c>
      <c r="D9" s="8" t="n">
        <v>216.91</v>
      </c>
      <c r="E9" s="8" t="n">
        <v>169.73</v>
      </c>
      <c r="F9" s="9" t="n">
        <v>156.9968</v>
      </c>
      <c r="G9" s="9" t="n">
        <v>137.6781</v>
      </c>
      <c r="H9" s="9" t="n">
        <v>129.5215</v>
      </c>
      <c r="I9" s="9" t="n">
        <v>121.3649</v>
      </c>
      <c r="J9" s="9" t="n">
        <v>113.2083</v>
      </c>
      <c r="K9" t="inlineStr">
        <is>
          <t>P&amp;L</t>
        </is>
      </c>
    </row>
    <row r="10">
      <c r="A10" t="inlineStr">
        <is>
          <t>Profit before exceptional items and tax</t>
        </is>
      </c>
      <c r="B10" s="8" t="n">
        <v>2025.79</v>
      </c>
      <c r="C10" s="8" t="n">
        <v>3885.9</v>
      </c>
      <c r="D10" s="8" t="n">
        <v>4244.56</v>
      </c>
      <c r="E10" s="8" t="n">
        <v>5162.5</v>
      </c>
      <c r="F10" s="9" t="n">
        <v>5505.2105</v>
      </c>
      <c r="G10" s="9" t="n">
        <v>5921.0123</v>
      </c>
      <c r="H10" s="9" t="n">
        <v>5956.7189</v>
      </c>
      <c r="I10" s="9" t="n">
        <v>5408.8593</v>
      </c>
      <c r="J10" s="9" t="n">
        <v>6333.3176</v>
      </c>
      <c r="K10" t="inlineStr">
        <is>
          <t>P&amp;L printed subtotal (tied)</t>
        </is>
      </c>
    </row>
    <row r="11">
      <c r="A11" t="inlineStr">
        <is>
          <t>Exceptional items</t>
        </is>
      </c>
      <c r="B11" s="8" t="n">
        <v>84.61</v>
      </c>
      <c r="C11" s="8" t="n">
        <v>-93.72</v>
      </c>
      <c r="D11" s="8" t="n">
        <v>103.73</v>
      </c>
      <c r="E11" s="8" t="n">
        <v>-348.48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t="inlineStr">
        <is>
          <t>note 2.8; none projected</t>
        </is>
      </c>
    </row>
    <row r="12">
      <c r="A12" t="inlineStr">
        <is>
          <t>Profit before tax</t>
        </is>
      </c>
      <c r="B12" s="8" t="n">
        <v>2110.4</v>
      </c>
      <c r="C12" s="8" t="n">
        <v>3792.18</v>
      </c>
      <c r="D12" s="8" t="n">
        <v>4348.29</v>
      </c>
      <c r="E12" s="8" t="n">
        <v>4814.02</v>
      </c>
      <c r="F12" s="9" t="n">
        <v>5505.2105</v>
      </c>
      <c r="G12" s="9" t="n">
        <v>5921.0123</v>
      </c>
      <c r="H12" s="9" t="n">
        <v>5956.7189</v>
      </c>
      <c r="I12" s="9" t="n">
        <v>5408.8593</v>
      </c>
      <c r="J12" s="9" t="n">
        <v>6333.3176</v>
      </c>
      <c r="K12" t="inlineStr">
        <is>
          <t>P&amp;L</t>
        </is>
      </c>
    </row>
    <row r="13">
      <c r="A13" t="inlineStr">
        <is>
          <t>Tax expense</t>
        </is>
      </c>
      <c r="B13" s="8" t="n">
        <v>730.29</v>
      </c>
      <c r="C13" s="8" t="n">
        <v>1174.31</v>
      </c>
      <c r="D13" s="8" t="n">
        <v>1045</v>
      </c>
      <c r="E13" s="8" t="n">
        <v>1248.49</v>
      </c>
      <c r="F13" s="9" t="n">
        <v>1403.8287</v>
      </c>
      <c r="G13" s="9" t="n">
        <v>1509.8581</v>
      </c>
      <c r="H13" s="9" t="n">
        <v>1518.9633</v>
      </c>
      <c r="I13" s="9" t="n">
        <v>1379.2591</v>
      </c>
      <c r="J13" s="9" t="n">
        <v>1614.996</v>
      </c>
      <c r="K13" t="inlineStr">
        <is>
          <t>P&amp;L</t>
        </is>
      </c>
    </row>
    <row r="14">
      <c r="A14" s="10" t="inlineStr">
        <is>
          <t>PROFIT AFTER TAX</t>
        </is>
      </c>
      <c r="B14" s="11" t="n">
        <v>1380.11</v>
      </c>
      <c r="C14" s="11" t="n">
        <v>2617.87</v>
      </c>
      <c r="D14" s="11" t="n">
        <v>3303.29</v>
      </c>
      <c r="E14" s="11" t="n">
        <v>3565.53</v>
      </c>
      <c r="F14" s="12" t="n">
        <v>4101.3818</v>
      </c>
      <c r="G14" s="12" t="n">
        <v>4411.1542</v>
      </c>
      <c r="H14" s="12" t="n">
        <v>4437.7556</v>
      </c>
      <c r="I14" s="12" t="n">
        <v>4029.6001</v>
      </c>
      <c r="J14" s="12" t="n">
        <v>4718.3216</v>
      </c>
      <c r="K14" s="10" t="inlineStr">
        <is>
          <t>P&amp;L printed (tied)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3" t="inlineStr">
        <is>
          <t>Rs crore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FY2026</t>
        </is>
      </c>
      <c r="F1" s="3" t="inlineStr">
        <is>
          <t>FY2027E</t>
        </is>
      </c>
      <c r="G1" s="3" t="inlineStr">
        <is>
          <t>FY2028E</t>
        </is>
      </c>
      <c r="H1" s="3" t="inlineStr">
        <is>
          <t>FY2029E</t>
        </is>
      </c>
      <c r="I1" s="3" t="inlineStr">
        <is>
          <t>FY2030E</t>
        </is>
      </c>
      <c r="J1" s="3" t="inlineStr">
        <is>
          <t>FY2031E</t>
        </is>
      </c>
      <c r="K1" s="3" t="inlineStr">
        <is>
          <t>Source / note</t>
        </is>
      </c>
    </row>
    <row r="2">
      <c r="A2" s="10" t="inlineStr">
        <is>
          <t>Net cash from operating activities</t>
        </is>
      </c>
      <c r="B2" s="11" t="n">
        <v>2136.01</v>
      </c>
      <c r="C2" s="11" t="n">
        <v>2503.12</v>
      </c>
      <c r="D2" s="11" t="n">
        <v>7819.42</v>
      </c>
      <c r="E2" s="11" t="n">
        <v>4792.1</v>
      </c>
      <c r="F2" s="12" t="n">
        <v>5018.7761</v>
      </c>
      <c r="G2" s="12" t="n">
        <v>5388.1011</v>
      </c>
      <c r="H2" s="12" t="n">
        <v>5407.0975</v>
      </c>
      <c r="I2" s="12" t="n">
        <v>4913.4236</v>
      </c>
      <c r="J2" s="12" t="n">
        <v>5767.9774</v>
      </c>
      <c r="K2" s="10" t="inlineStr">
        <is>
          <t>historical: standalone cash-flow statement; projected: PAT + D&amp;A - change in inventory and receivables + change in payables (finance cost treated as paid)</t>
        </is>
      </c>
    </row>
    <row r="3">
      <c r="A3" t="inlineStr">
        <is>
          <t>Capex (purchase of PPE and intangibles)</t>
        </is>
      </c>
      <c r="B3" s="8" t="n">
        <v>502.05</v>
      </c>
      <c r="C3" s="8" t="n">
        <v>495.5</v>
      </c>
      <c r="D3" s="8" t="n">
        <v>954.29</v>
      </c>
      <c r="E3" s="8" t="n">
        <v>1049.53</v>
      </c>
      <c r="F3" s="9" t="n">
        <v>1200</v>
      </c>
      <c r="G3" s="9" t="n">
        <v>1150</v>
      </c>
      <c r="H3" s="9" t="n">
        <v>1100</v>
      </c>
      <c r="I3" s="9" t="n">
        <v>1000</v>
      </c>
      <c r="J3" s="9" t="n">
        <v>1100</v>
      </c>
      <c r="K3" t="inlineStr">
        <is>
          <t>cash-flow statement</t>
        </is>
      </c>
    </row>
    <row r="4">
      <c r="A4" t="inlineStr">
        <is>
          <t>Equity investment in subsidiaries / JVs</t>
        </is>
      </c>
      <c r="B4" s="8" t="n">
        <v>19.81</v>
      </c>
      <c r="C4" s="8" t="n">
        <v>1567.02</v>
      </c>
      <c r="D4" s="8" t="n">
        <v>717.0599999999999</v>
      </c>
      <c r="E4" s="8" t="n">
        <v>386.28</v>
      </c>
      <c r="F4" s="9" t="n">
        <v>500</v>
      </c>
      <c r="G4" s="9" t="n">
        <v>500</v>
      </c>
      <c r="H4" s="9" t="n">
        <v>400</v>
      </c>
      <c r="I4" s="9" t="n">
        <v>400</v>
      </c>
      <c r="J4" s="9" t="n">
        <v>400</v>
      </c>
      <c r="K4" t="inlineStr">
        <is>
          <t>cash-flow statement + Board's report (engine)</t>
        </is>
      </c>
    </row>
    <row r="5">
      <c r="A5" t="inlineStr">
        <is>
          <t>Dividends paid</t>
        </is>
      </c>
      <c r="B5" s="8" t="n">
        <v>293.55</v>
      </c>
      <c r="C5" s="8" t="n">
        <v>763.39</v>
      </c>
      <c r="D5" s="8" t="n">
        <v>2040.77</v>
      </c>
      <c r="E5" s="8" t="n">
        <v>1835.42</v>
      </c>
      <c r="F5" s="9" t="n">
        <v>2055.8455</v>
      </c>
      <c r="G5" s="9" t="n">
        <v>2255.76</v>
      </c>
      <c r="H5" s="9" t="n">
        <v>2426.1348</v>
      </c>
      <c r="I5" s="9" t="n">
        <v>2440.7656</v>
      </c>
      <c r="J5" s="9" t="n">
        <v>2216.2801</v>
      </c>
      <c r="K5" t="inlineStr">
        <is>
          <t>cash-flow statement</t>
        </is>
      </c>
    </row>
    <row r="6">
      <c r="A6" t="inlineStr">
        <is>
          <t>Repayment of borrowings</t>
        </is>
      </c>
      <c r="B6" s="8" t="n">
        <v>375.94</v>
      </c>
      <c r="C6" s="8" t="n">
        <v>1104.98</v>
      </c>
      <c r="D6" s="8" t="n">
        <v>688.73</v>
      </c>
      <c r="E6" s="8" t="n">
        <v>379.6</v>
      </c>
      <c r="F6" s="9" t="n">
        <v>483.82</v>
      </c>
      <c r="G6" s="9" t="n">
        <v>129.47</v>
      </c>
      <c r="H6" s="9" t="n">
        <v>129.47</v>
      </c>
      <c r="I6" s="9" t="n">
        <v>129.47</v>
      </c>
      <c r="J6" s="9" t="n">
        <v>129.47</v>
      </c>
      <c r="K6" t="inlineStr">
        <is>
          <t>cash-flow statement; projected = schedule</t>
        </is>
      </c>
    </row>
    <row r="7">
      <c r="A7" t="inlineStr">
        <is>
          <t>Proceeds from borrowings</t>
        </is>
      </c>
      <c r="B7" s="8" t="n">
        <v>0</v>
      </c>
      <c r="C7" s="8" t="n">
        <v>0</v>
      </c>
      <c r="D7" s="8" t="n">
        <v>247</v>
      </c>
      <c r="E7" s="8" t="n">
        <v>103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t="inlineStr">
        <is>
          <t>cash-flow statement; projected = DERIVED funding-gap draw (zero unless free liquidity &lt; floor)</t>
        </is>
      </c>
    </row>
    <row r="8">
      <c r="A8" t="inlineStr">
        <is>
          <t>Other flows, net (interest paid, leases, treasury, investment sales)</t>
        </is>
      </c>
      <c r="B8" s="8" t="n"/>
      <c r="C8" s="8" t="n">
        <v>1842.3</v>
      </c>
      <c r="D8" s="8" t="n">
        <v>-1628.16</v>
      </c>
      <c r="E8" s="8" t="n">
        <v>127.84</v>
      </c>
      <c r="F8" s="9" t="n">
        <v>100</v>
      </c>
      <c r="G8" s="9" t="n">
        <v>0</v>
      </c>
      <c r="H8" s="9" t="n">
        <v>0</v>
      </c>
      <c r="I8" s="9" t="n">
        <v>0</v>
      </c>
      <c r="J8" s="9" t="n">
        <v>0</v>
      </c>
      <c r="K8" t="inlineStr">
        <is>
          <t>historical = balancing item to the movement in cash + bank + current investments; projected = movement in earmarked balances only</t>
        </is>
      </c>
    </row>
    <row r="9">
      <c r="A9" s="10" t="inlineStr">
        <is>
          <t>Closing free cash and liquid investments</t>
        </is>
      </c>
      <c r="B9" s="11" t="n">
        <v>3225.53</v>
      </c>
      <c r="C9" s="11" t="n">
        <v>2167.03</v>
      </c>
      <c r="D9" s="11" t="n">
        <v>5678.52</v>
      </c>
      <c r="E9" s="11" t="n">
        <v>6950.8</v>
      </c>
      <c r="F9" s="12" t="n">
        <v>7829.9107</v>
      </c>
      <c r="G9" s="12" t="n">
        <v>9182.781800000001</v>
      </c>
      <c r="H9" s="12" t="n">
        <v>10534.2746</v>
      </c>
      <c r="I9" s="12" t="n">
        <v>11477.4626</v>
      </c>
      <c r="J9" s="12" t="n">
        <v>13399.6899</v>
      </c>
      <c r="K9" s="10" t="inlineStr">
        <is>
          <t>unencumbered: excludes unclaimed-dividend, escrow, DRF and FY2024 dividend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3" t="inlineStr">
        <is>
          <t>Rs crore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FY2026</t>
        </is>
      </c>
      <c r="F1" s="3" t="inlineStr">
        <is>
          <t>FY2027E</t>
        </is>
      </c>
      <c r="G1" s="3" t="inlineStr">
        <is>
          <t>FY2028E</t>
        </is>
      </c>
      <c r="H1" s="3" t="inlineStr">
        <is>
          <t>FY2029E</t>
        </is>
      </c>
      <c r="I1" s="3" t="inlineStr">
        <is>
          <t>FY2030E</t>
        </is>
      </c>
      <c r="J1" s="3" t="inlineStr">
        <is>
          <t>FY2031E</t>
        </is>
      </c>
      <c r="K1" s="3" t="inlineStr">
        <is>
          <t>Source / note</t>
        </is>
      </c>
    </row>
    <row r="2">
      <c r="A2" t="inlineStr">
        <is>
          <t>Net block (PPE + right-of-use + other intangibles)</t>
        </is>
      </c>
      <c r="B2" s="8" t="n">
        <v>5854.25</v>
      </c>
      <c r="C2" s="8" t="n">
        <v>5501.9</v>
      </c>
      <c r="D2" s="8" t="n">
        <v>5395.59</v>
      </c>
      <c r="E2" s="8" t="n">
        <v>5938.97</v>
      </c>
      <c r="F2" s="9" t="n">
        <v>6351.7545</v>
      </c>
      <c r="G2" s="9" t="n">
        <v>6659.8241</v>
      </c>
      <c r="H2" s="9" t="n">
        <v>6877.0588</v>
      </c>
      <c r="I2" s="9" t="n">
        <v>6965.4989</v>
      </c>
      <c r="J2" s="9" t="n">
        <v>7142.2161</v>
      </c>
      <c r="K2" t="inlineStr"/>
    </row>
    <row r="3">
      <c r="A3" t="inlineStr">
        <is>
          <t>Capital work-in-progress</t>
        </is>
      </c>
      <c r="B3" s="8" t="n">
        <v>48.95</v>
      </c>
      <c r="C3" s="8" t="n">
        <v>95.53</v>
      </c>
      <c r="D3" s="8" t="n">
        <v>276.87</v>
      </c>
      <c r="E3" s="8" t="n">
        <v>209.98</v>
      </c>
      <c r="F3" s="9" t="n">
        <v>209.98</v>
      </c>
      <c r="G3" s="9" t="n">
        <v>209.98</v>
      </c>
      <c r="H3" s="9" t="n">
        <v>209.98</v>
      </c>
      <c r="I3" s="9" t="n">
        <v>209.98</v>
      </c>
      <c r="J3" s="9" t="n">
        <v>209.98</v>
      </c>
      <c r="K3" t="inlineStr"/>
    </row>
    <row r="4">
      <c r="A4" t="inlineStr">
        <is>
          <t>Intangible assets under development</t>
        </is>
      </c>
      <c r="B4" s="8" t="n">
        <v>83.56999999999999</v>
      </c>
      <c r="C4" s="8" t="n">
        <v>106</v>
      </c>
      <c r="D4" s="8" t="n">
        <v>147.89</v>
      </c>
      <c r="E4" s="8" t="n">
        <v>269.31</v>
      </c>
      <c r="F4" s="9" t="n">
        <v>269.31</v>
      </c>
      <c r="G4" s="9" t="n">
        <v>269.31</v>
      </c>
      <c r="H4" s="9" t="n">
        <v>269.31</v>
      </c>
      <c r="I4" s="9" t="n">
        <v>269.31</v>
      </c>
      <c r="J4" s="9" t="n">
        <v>269.31</v>
      </c>
      <c r="K4" t="inlineStr"/>
    </row>
    <row r="5">
      <c r="A5" t="inlineStr">
        <is>
          <t>Goodwill</t>
        </is>
      </c>
      <c r="B5" s="8" t="n">
        <v>449.9</v>
      </c>
      <c r="C5" s="8" t="n">
        <v>449.9</v>
      </c>
      <c r="D5" s="8" t="n">
        <v>449.9</v>
      </c>
      <c r="E5" s="8" t="n">
        <v>449.9</v>
      </c>
      <c r="F5" s="9" t="n">
        <v>449.9</v>
      </c>
      <c r="G5" s="9" t="n">
        <v>449.9</v>
      </c>
      <c r="H5" s="9" t="n">
        <v>449.9</v>
      </c>
      <c r="I5" s="9" t="n">
        <v>449.9</v>
      </c>
      <c r="J5" s="9" t="n">
        <v>449.9</v>
      </c>
      <c r="K5" t="inlineStr"/>
    </row>
    <row r="6">
      <c r="A6" t="inlineStr">
        <is>
          <t>Non-current investments (incl. subsidiaries)</t>
        </is>
      </c>
      <c r="B6" s="8" t="n">
        <v>3892.18</v>
      </c>
      <c r="C6" s="8" t="n">
        <v>5310.71</v>
      </c>
      <c r="D6" s="8" t="n">
        <v>5654.26</v>
      </c>
      <c r="E6" s="8" t="n">
        <v>6559.29</v>
      </c>
      <c r="F6" s="9" t="n">
        <v>7059.29</v>
      </c>
      <c r="G6" s="9" t="n">
        <v>7559.29</v>
      </c>
      <c r="H6" s="9" t="n">
        <v>7959.29</v>
      </c>
      <c r="I6" s="9" t="n">
        <v>8359.290000000001</v>
      </c>
      <c r="J6" s="9" t="n">
        <v>8759.290000000001</v>
      </c>
      <c r="K6" t="inlineStr"/>
    </row>
    <row r="7">
      <c r="A7" t="inlineStr">
        <is>
          <t>Other non-current assets</t>
        </is>
      </c>
      <c r="B7" s="8" t="n">
        <v>559.16</v>
      </c>
      <c r="C7" s="8" t="n">
        <v>484.62</v>
      </c>
      <c r="D7" s="8" t="n">
        <v>1269.02</v>
      </c>
      <c r="E7" s="8" t="n">
        <v>504.22</v>
      </c>
      <c r="F7" s="9" t="n">
        <v>504.22</v>
      </c>
      <c r="G7" s="9" t="n">
        <v>504.22</v>
      </c>
      <c r="H7" s="9" t="n">
        <v>504.22</v>
      </c>
      <c r="I7" s="9" t="n">
        <v>504.22</v>
      </c>
      <c r="J7" s="9" t="n">
        <v>504.22</v>
      </c>
      <c r="K7" t="inlineStr"/>
    </row>
    <row r="8">
      <c r="A8" t="inlineStr">
        <is>
          <t>Inventories</t>
        </is>
      </c>
      <c r="B8" s="8" t="n">
        <v>2774.48</v>
      </c>
      <c r="C8" s="8" t="n">
        <v>3190.69</v>
      </c>
      <c r="D8" s="8" t="n">
        <v>2957.32</v>
      </c>
      <c r="E8" s="8" t="n">
        <v>3486.02</v>
      </c>
      <c r="F8" s="9" t="n">
        <v>3717.4547</v>
      </c>
      <c r="G8" s="9" t="n">
        <v>3965.5594</v>
      </c>
      <c r="H8" s="9" t="n">
        <v>4124.6515</v>
      </c>
      <c r="I8" s="9" t="n">
        <v>4073.6833</v>
      </c>
      <c r="J8" s="9" t="n">
        <v>4305.9047</v>
      </c>
      <c r="K8" t="inlineStr"/>
    </row>
    <row r="9">
      <c r="A9" t="inlineStr">
        <is>
          <t>Trade receivables</t>
        </is>
      </c>
      <c r="B9" s="8" t="n">
        <v>4062.08</v>
      </c>
      <c r="C9" s="8" t="n">
        <v>3569.65</v>
      </c>
      <c r="D9" s="8" t="n">
        <v>2887.32</v>
      </c>
      <c r="E9" s="8" t="n">
        <v>2950.41</v>
      </c>
      <c r="F9" s="9" t="n">
        <v>3144.8165</v>
      </c>
      <c r="G9" s="9" t="n">
        <v>3354.703</v>
      </c>
      <c r="H9" s="9" t="n">
        <v>3489.2885</v>
      </c>
      <c r="I9" s="9" t="n">
        <v>3446.1714</v>
      </c>
      <c r="J9" s="9" t="n">
        <v>3642.6214</v>
      </c>
      <c r="K9" t="inlineStr"/>
    </row>
    <row r="10">
      <c r="A10" t="inlineStr">
        <is>
          <t>Free cash and liquid investments</t>
        </is>
      </c>
      <c r="B10" s="8" t="n">
        <v>3225.53</v>
      </c>
      <c r="C10" s="8" t="n">
        <v>2167.03</v>
      </c>
      <c r="D10" s="8" t="n">
        <v>5678.52</v>
      </c>
      <c r="E10" s="8" t="n">
        <v>6950.8</v>
      </c>
      <c r="F10" s="9" t="n">
        <v>7829.9107</v>
      </c>
      <c r="G10" s="9" t="n">
        <v>9182.781800000001</v>
      </c>
      <c r="H10" s="9" t="n">
        <v>10534.2746</v>
      </c>
      <c r="I10" s="9" t="n">
        <v>11477.4626</v>
      </c>
      <c r="J10" s="9" t="n">
        <v>13399.6899</v>
      </c>
      <c r="K10" t="inlineStr"/>
    </row>
    <row r="11">
      <c r="A11" t="inlineStr">
        <is>
          <t>Earmarked bank balances and non-liquid investments</t>
        </is>
      </c>
      <c r="B11" s="8" t="n">
        <v>47.18</v>
      </c>
      <c r="C11" s="8" t="n">
        <v>1520.21</v>
      </c>
      <c r="D11" s="8" t="n">
        <v>46.13</v>
      </c>
      <c r="E11" s="8" t="n">
        <v>145.96</v>
      </c>
      <c r="F11" s="9" t="n">
        <v>45.96</v>
      </c>
      <c r="G11" s="9" t="n">
        <v>45.96</v>
      </c>
      <c r="H11" s="9" t="n">
        <v>45.96</v>
      </c>
      <c r="I11" s="9" t="n">
        <v>45.96</v>
      </c>
      <c r="J11" s="9" t="n">
        <v>45.96</v>
      </c>
      <c r="K11" t="inlineStr"/>
    </row>
    <row r="12">
      <c r="A12" t="inlineStr">
        <is>
          <t>Other current assets</t>
        </is>
      </c>
      <c r="B12" s="8" t="n">
        <v>1522.43</v>
      </c>
      <c r="C12" s="8" t="n">
        <v>1149.49</v>
      </c>
      <c r="D12" s="8" t="n">
        <v>739.33</v>
      </c>
      <c r="E12" s="8" t="n">
        <v>1128.8</v>
      </c>
      <c r="F12" s="9" t="n">
        <v>1128.8</v>
      </c>
      <c r="G12" s="9" t="n">
        <v>1128.8</v>
      </c>
      <c r="H12" s="9" t="n">
        <v>1128.8</v>
      </c>
      <c r="I12" s="9" t="n">
        <v>1128.8</v>
      </c>
      <c r="J12" s="9" t="n">
        <v>1128.8</v>
      </c>
      <c r="K12" t="inlineStr"/>
    </row>
    <row r="13">
      <c r="A13" t="inlineStr">
        <is>
          <t>Assets held for sale</t>
        </is>
      </c>
      <c r="B13" s="8" t="n">
        <v>71.92</v>
      </c>
      <c r="C13" s="8" t="n">
        <v>66.02</v>
      </c>
      <c r="D13" s="8" t="n">
        <v>23.68</v>
      </c>
      <c r="E13" s="8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t="inlineStr"/>
    </row>
    <row r="14">
      <c r="A14" s="10" t="inlineStr">
        <is>
          <t>TOTAL ASSETS</t>
        </is>
      </c>
      <c r="B14" s="11" t="n">
        <v>22591.63</v>
      </c>
      <c r="C14" s="11" t="n">
        <v>23611.75</v>
      </c>
      <c r="D14" s="11" t="n">
        <v>25525.83</v>
      </c>
      <c r="E14" s="11" t="n">
        <v>28593.66</v>
      </c>
      <c r="F14" s="12" t="n">
        <v>30711.3965</v>
      </c>
      <c r="G14" s="12" t="n">
        <v>33330.3284</v>
      </c>
      <c r="H14" s="12" t="n">
        <v>35592.7334</v>
      </c>
      <c r="I14" s="12" t="n">
        <v>36930.2761</v>
      </c>
      <c r="J14" s="12" t="n">
        <v>39857.8921</v>
      </c>
      <c r="K14" s="10" t="inlineStr">
        <is>
          <t>standalone balance sheet (grouped; totals tie to the AR)</t>
        </is>
      </c>
    </row>
    <row r="15">
      <c r="A15" s="10" t="inlineStr">
        <is>
          <t>Equity (= tangible net worth; no revaluation reserve)</t>
        </is>
      </c>
      <c r="B15" s="11" t="n">
        <v>8425.799999999999</v>
      </c>
      <c r="C15" s="11" t="n">
        <v>8810.370000000001</v>
      </c>
      <c r="D15" s="11" t="n">
        <v>11518.79</v>
      </c>
      <c r="E15" s="11" t="n">
        <v>13113.42</v>
      </c>
      <c r="F15" s="12" t="n">
        <v>15158.9564</v>
      </c>
      <c r="G15" s="12" t="n">
        <v>17314.3505</v>
      </c>
      <c r="H15" s="12" t="n">
        <v>19325.9714</v>
      </c>
      <c r="I15" s="12" t="n">
        <v>20914.8059</v>
      </c>
      <c r="J15" s="12" t="n">
        <v>23416.8474</v>
      </c>
      <c r="K15" s="10" t="inlineStr"/>
    </row>
    <row r="16">
      <c r="A16" t="inlineStr">
        <is>
          <t>Non-current borrowings</t>
        </is>
      </c>
      <c r="B16" s="8" t="n">
        <v>1766.23</v>
      </c>
      <c r="C16" s="8" t="n">
        <v>1131.64</v>
      </c>
      <c r="D16" s="8" t="n">
        <v>902.23</v>
      </c>
      <c r="E16" s="8" t="n">
        <v>517.88</v>
      </c>
      <c r="F16" s="9" t="n">
        <v>388.41</v>
      </c>
      <c r="G16" s="9" t="n">
        <v>258.94</v>
      </c>
      <c r="H16" s="9" t="n">
        <v>129.47</v>
      </c>
      <c r="I16" s="9" t="n">
        <v>0</v>
      </c>
      <c r="J16" s="9" t="n">
        <v>0</v>
      </c>
      <c r="K16" t="inlineStr"/>
    </row>
    <row r="17">
      <c r="A17" t="inlineStr">
        <is>
          <t>Non-current lease liabilities</t>
        </is>
      </c>
      <c r="B17" s="8" t="n">
        <v>31.02</v>
      </c>
      <c r="C17" s="8" t="n">
        <v>29.4</v>
      </c>
      <c r="D17" s="8" t="n">
        <v>31.74</v>
      </c>
      <c r="E17" s="8" t="n">
        <v>29.6</v>
      </c>
      <c r="F17" s="9" t="n">
        <v>29.6</v>
      </c>
      <c r="G17" s="9" t="n">
        <v>29.6</v>
      </c>
      <c r="H17" s="9" t="n">
        <v>29.6</v>
      </c>
      <c r="I17" s="9" t="n">
        <v>29.6</v>
      </c>
      <c r="J17" s="9" t="n">
        <v>29.6</v>
      </c>
      <c r="K17" t="inlineStr"/>
    </row>
    <row r="18">
      <c r="A18" t="inlineStr">
        <is>
          <t>Deferred tax liability (net)</t>
        </is>
      </c>
      <c r="B18" s="8" t="n">
        <v>503.51</v>
      </c>
      <c r="C18" s="8" t="n">
        <v>556.3099999999999</v>
      </c>
      <c r="D18" s="8" t="n">
        <v>547.89</v>
      </c>
      <c r="E18" s="8" t="n">
        <v>535.71</v>
      </c>
      <c r="F18" s="9" t="n">
        <v>535.71</v>
      </c>
      <c r="G18" s="9" t="n">
        <v>535.71</v>
      </c>
      <c r="H18" s="9" t="n">
        <v>535.71</v>
      </c>
      <c r="I18" s="9" t="n">
        <v>535.71</v>
      </c>
      <c r="J18" s="9" t="n">
        <v>535.71</v>
      </c>
      <c r="K18" t="inlineStr"/>
    </row>
    <row r="19">
      <c r="A19" t="inlineStr">
        <is>
          <t>Other non-current liabilities and provisions</t>
        </is>
      </c>
      <c r="B19" s="8" t="n">
        <v>792.27</v>
      </c>
      <c r="C19" s="8" t="n">
        <v>1028.83</v>
      </c>
      <c r="D19" s="8" t="n">
        <v>1094.4</v>
      </c>
      <c r="E19" s="8" t="n">
        <v>1070.41</v>
      </c>
      <c r="F19" s="9" t="n">
        <v>1070.41</v>
      </c>
      <c r="G19" s="9" t="n">
        <v>1070.41</v>
      </c>
      <c r="H19" s="9" t="n">
        <v>1070.41</v>
      </c>
      <c r="I19" s="9" t="n">
        <v>1070.41</v>
      </c>
      <c r="J19" s="9" t="n">
        <v>1070.41</v>
      </c>
      <c r="K19" t="inlineStr"/>
    </row>
    <row r="20">
      <c r="A20" t="inlineStr">
        <is>
          <t>Current borrowings (incl. current maturities)</t>
        </is>
      </c>
      <c r="B20" s="8" t="n">
        <v>1413.87</v>
      </c>
      <c r="C20" s="8" t="n">
        <v>1122.89</v>
      </c>
      <c r="D20" s="8" t="n">
        <v>533.21</v>
      </c>
      <c r="E20" s="8" t="n">
        <v>633.8200000000001</v>
      </c>
      <c r="F20" s="9" t="n">
        <v>279.47</v>
      </c>
      <c r="G20" s="9" t="n">
        <v>279.47</v>
      </c>
      <c r="H20" s="9" t="n">
        <v>279.47</v>
      </c>
      <c r="I20" s="9" t="n">
        <v>279.47</v>
      </c>
      <c r="J20" s="9" t="n">
        <v>150</v>
      </c>
      <c r="K20" t="inlineStr"/>
    </row>
    <row r="21">
      <c r="A21" t="inlineStr">
        <is>
          <t>Current lease liabilities</t>
        </is>
      </c>
      <c r="B21" s="8" t="n">
        <v>13.71</v>
      </c>
      <c r="C21" s="8" t="n">
        <v>15.47</v>
      </c>
      <c r="D21" s="8" t="n">
        <v>14.54</v>
      </c>
      <c r="E21" s="8" t="n">
        <v>13.74</v>
      </c>
      <c r="F21" s="9" t="n">
        <v>13.74</v>
      </c>
      <c r="G21" s="9" t="n">
        <v>13.74</v>
      </c>
      <c r="H21" s="9" t="n">
        <v>13.74</v>
      </c>
      <c r="I21" s="9" t="n">
        <v>13.74</v>
      </c>
      <c r="J21" s="9" t="n">
        <v>13.74</v>
      </c>
      <c r="K21" t="inlineStr"/>
    </row>
    <row r="22">
      <c r="A22" t="inlineStr">
        <is>
          <t>Trade payables</t>
        </is>
      </c>
      <c r="B22" s="8" t="n">
        <v>7175.12</v>
      </c>
      <c r="C22" s="8" t="n">
        <v>6305.19</v>
      </c>
      <c r="D22" s="8" t="n">
        <v>7304.69</v>
      </c>
      <c r="E22" s="8" t="n">
        <v>8329.26</v>
      </c>
      <c r="F22" s="9" t="n">
        <v>8885.2801</v>
      </c>
      <c r="G22" s="9" t="n">
        <v>9478.287899999999</v>
      </c>
      <c r="H22" s="9" t="n">
        <v>9858.542100000001</v>
      </c>
      <c r="I22" s="9" t="n">
        <v>9736.7202</v>
      </c>
      <c r="J22" s="9" t="n">
        <v>10291.7647</v>
      </c>
      <c r="K22" t="inlineStr"/>
    </row>
    <row r="23">
      <c r="A23" t="inlineStr">
        <is>
          <t>Other current liabilities and provisions</t>
        </is>
      </c>
      <c r="B23" s="8" t="n">
        <v>2459.23</v>
      </c>
      <c r="C23" s="8" t="n">
        <v>4594.82</v>
      </c>
      <c r="D23" s="8" t="n">
        <v>3573.69</v>
      </c>
      <c r="E23" s="8" t="n">
        <v>4349.82</v>
      </c>
      <c r="F23" s="9" t="n">
        <v>4349.82</v>
      </c>
      <c r="G23" s="9" t="n">
        <v>4349.82</v>
      </c>
      <c r="H23" s="9" t="n">
        <v>4349.82</v>
      </c>
      <c r="I23" s="9" t="n">
        <v>4349.82</v>
      </c>
      <c r="J23" s="9" t="n">
        <v>4349.82</v>
      </c>
      <c r="K23" t="inlineStr"/>
    </row>
    <row r="24">
      <c r="A24" t="inlineStr">
        <is>
          <t>Liabilities held for sale</t>
        </is>
      </c>
      <c r="B24" s="8" t="n">
        <v>10.87</v>
      </c>
      <c r="C24" s="8" t="n">
        <v>16.83</v>
      </c>
      <c r="D24" s="8" t="n">
        <v>4.65</v>
      </c>
      <c r="E24" s="8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t="inlineStr"/>
    </row>
    <row r="25">
      <c r="A25" s="10" t="inlineStr">
        <is>
          <t>TOTAL EQUITY AND LIABILITIES</t>
        </is>
      </c>
      <c r="B25" s="11" t="n">
        <v>22591.63</v>
      </c>
      <c r="C25" s="11" t="n">
        <v>23611.75</v>
      </c>
      <c r="D25" s="11" t="n">
        <v>25525.83</v>
      </c>
      <c r="E25" s="11" t="n">
        <v>28593.66</v>
      </c>
      <c r="F25" s="12" t="n">
        <v>30711.3965</v>
      </c>
      <c r="G25" s="12" t="n">
        <v>33330.3284</v>
      </c>
      <c r="H25" s="12" t="n">
        <v>35592.7334</v>
      </c>
      <c r="I25" s="12" t="n">
        <v>36930.2761</v>
      </c>
      <c r="J25" s="12" t="n">
        <v>39857.8921</v>
      </c>
      <c r="K25" s="10" t="inlineStr">
        <is>
          <t>standalone balance sheet (grouped; totals tie to the AR)</t>
        </is>
      </c>
    </row>
    <row r="26">
      <c r="A26" t="inlineStr">
        <is>
          <t>Check: assets - (equity + liabilities)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t="inlineStr">
        <is>
          <t>must be zero in every column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3" t="inlineStr">
        <is>
          <t>ICRA convention (formulas)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FY2026</t>
        </is>
      </c>
      <c r="F1" s="3" t="inlineStr">
        <is>
          <t>FY2027E</t>
        </is>
      </c>
      <c r="G1" s="3" t="inlineStr">
        <is>
          <t>FY2028E</t>
        </is>
      </c>
      <c r="H1" s="3" t="inlineStr">
        <is>
          <t>FY2029E</t>
        </is>
      </c>
      <c r="I1" s="3" t="inlineStr">
        <is>
          <t>FY2030E</t>
        </is>
      </c>
      <c r="J1" s="3" t="inlineStr">
        <is>
          <t>FY2031E</t>
        </is>
      </c>
      <c r="K1" s="3" t="inlineStr">
        <is>
          <t>Source / note</t>
        </is>
      </c>
    </row>
    <row r="2">
      <c r="A2" t="inlineStr">
        <is>
          <t>OPBDITA margin (%)</t>
        </is>
      </c>
      <c r="B2" s="13">
        <f>100*'Income Statement'!B6/'Income Statement'!B2</f>
        <v>8.1083683275</v>
      </c>
      <c r="C2" s="13">
        <f>100*'Income Statement'!C6/'Income Statement'!C2</f>
        <v>12.0066108844</v>
      </c>
      <c r="D2" s="13">
        <f>100*'Income Statement'!D6/'Income Statement'!D2</f>
        <v>12.7231261583</v>
      </c>
      <c r="E2" s="13">
        <f>100*'Income Statement'!E6/'Income Statement'!E2</f>
        <v>13.0257597479</v>
      </c>
      <c r="F2" s="14">
        <f>100*'Income Statement'!F6/'Income Statement'!F2</f>
        <v>13.0000000554</v>
      </c>
      <c r="G2" s="14">
        <f>100*'Income Statement'!G6/'Income Statement'!G2</f>
        <v>12.999999978</v>
      </c>
      <c r="H2" s="14">
        <f>100*'Income Statement'!H6/'Income Statement'!H2</f>
        <v>12.500000072</v>
      </c>
      <c r="I2" s="14">
        <f>100*'Income Statement'!I6/'Income Statement'!I2</f>
        <v>11.5000000185</v>
      </c>
      <c r="J2" s="14">
        <f>100*'Income Statement'!J6/'Income Statement'!J2</f>
        <v>12.500000023</v>
      </c>
    </row>
    <row r="3">
      <c r="A3" t="inlineStr">
        <is>
          <t>PAT margin (%)</t>
        </is>
      </c>
      <c r="B3" s="13">
        <f>100*'Income Statement'!B14/'Income Statement'!B2</f>
        <v>3.8183506372</v>
      </c>
      <c r="C3" s="13">
        <f>100*'Income Statement'!C14/'Income Statement'!C2</f>
        <v>6.8232281727</v>
      </c>
      <c r="D3" s="13">
        <f>100*'Income Statement'!D14/'Income Statement'!D2</f>
        <v>8.5240166244</v>
      </c>
      <c r="E3" s="13">
        <f>100*'Income Statement'!E14/'Income Statement'!E2</f>
        <v>8.1021827649</v>
      </c>
      <c r="F3" s="14">
        <f>100*'Income Statement'!F14/'Income Statement'!F2</f>
        <v>8.7379527557</v>
      </c>
      <c r="G3" s="14">
        <f>100*'Income Statement'!G14/'Income Statement'!G2</f>
        <v>8.8099401778</v>
      </c>
      <c r="H3" s="14">
        <f>100*'Income Statement'!H14/'Income Statement'!H2</f>
        <v>8.5212106293</v>
      </c>
      <c r="I3" s="14">
        <f>100*'Income Statement'!I14/'Income Statement'!I2</f>
        <v>7.834294115</v>
      </c>
      <c r="J3" s="14">
        <f>100*'Income Statement'!J14/'Income Statement'!J2</f>
        <v>8.6785726716</v>
      </c>
    </row>
    <row r="4">
      <c r="A4" t="inlineStr">
        <is>
          <t>Total debt (borrowings + leases)</t>
        </is>
      </c>
      <c r="B4" s="8">
        <f>'Balance Sheet'!B16+'Balance Sheet'!B20+'Balance Sheet'!B17+'Balance Sheet'!B21</f>
        <v>3224.83</v>
      </c>
      <c r="C4" s="8">
        <f>'Balance Sheet'!C16+'Balance Sheet'!C20+'Balance Sheet'!C17+'Balance Sheet'!C21</f>
        <v>2299.4</v>
      </c>
      <c r="D4" s="8">
        <f>'Balance Sheet'!D16+'Balance Sheet'!D20+'Balance Sheet'!D17+'Balance Sheet'!D21</f>
        <v>1481.72</v>
      </c>
      <c r="E4" s="8">
        <f>'Balance Sheet'!E16+'Balance Sheet'!E20+'Balance Sheet'!E17+'Balance Sheet'!E21</f>
        <v>1195.04</v>
      </c>
      <c r="F4" s="9">
        <f>'Balance Sheet'!F16+'Balance Sheet'!F20+'Balance Sheet'!F17+'Balance Sheet'!F21</f>
        <v>711.22</v>
      </c>
      <c r="G4" s="9">
        <f>'Balance Sheet'!G16+'Balance Sheet'!G20+'Balance Sheet'!G17+'Balance Sheet'!G21</f>
        <v>581.75</v>
      </c>
      <c r="H4" s="9">
        <f>'Balance Sheet'!H16+'Balance Sheet'!H20+'Balance Sheet'!H17+'Balance Sheet'!H21</f>
        <v>452.28</v>
      </c>
      <c r="I4" s="9">
        <f>'Balance Sheet'!I16+'Balance Sheet'!I20+'Balance Sheet'!I17+'Balance Sheet'!I21</f>
        <v>322.81</v>
      </c>
      <c r="J4" s="9">
        <f>'Balance Sheet'!J16+'Balance Sheet'!J20+'Balance Sheet'!J17+'Balance Sheet'!J21</f>
        <v>193.34</v>
      </c>
    </row>
    <row r="5">
      <c r="A5" t="inlineStr">
        <is>
          <t>Tangible net worth</t>
        </is>
      </c>
      <c r="B5" s="8">
        <f>'Balance Sheet'!B15</f>
        <v>8425.8</v>
      </c>
      <c r="C5" s="8">
        <f>'Balance Sheet'!C15</f>
        <v>8810.37</v>
      </c>
      <c r="D5" s="8">
        <f>'Balance Sheet'!D15</f>
        <v>11518.79</v>
      </c>
      <c r="E5" s="8">
        <f>'Balance Sheet'!E15</f>
        <v>13113.42</v>
      </c>
      <c r="F5" s="9">
        <f>'Balance Sheet'!F15</f>
        <v>15158.9564</v>
      </c>
      <c r="G5" s="9">
        <f>'Balance Sheet'!G15</f>
        <v>17314.3505</v>
      </c>
      <c r="H5" s="9">
        <f>'Balance Sheet'!H15</f>
        <v>19325.9714</v>
      </c>
      <c r="I5" s="9">
        <f>'Balance Sheet'!I15</f>
        <v>20914.8059</v>
      </c>
      <c r="J5" s="9">
        <f>'Balance Sheet'!J15</f>
        <v>23416.8474</v>
      </c>
    </row>
    <row r="6">
      <c r="A6" t="inlineStr">
        <is>
          <t>Gearing - total debt / TNW (x)</t>
        </is>
      </c>
      <c r="B6" s="13">
        <f>B4/B5</f>
        <v>0.3827327969</v>
      </c>
      <c r="C6" s="13">
        <f>C4/C5</f>
        <v>0.260987904</v>
      </c>
      <c r="D6" s="13">
        <f>D4/D5</f>
        <v>0.1286350389</v>
      </c>
      <c r="E6" s="13">
        <f>E4/E5</f>
        <v>0.0911310703</v>
      </c>
      <c r="F6" s="14">
        <f>F4/F5</f>
        <v>0.0469174778</v>
      </c>
      <c r="G6" s="14">
        <f>G4/G5</f>
        <v>0.0335992967</v>
      </c>
      <c r="H6" s="14">
        <f>H4/H5</f>
        <v>0.0234027046</v>
      </c>
      <c r="I6" s="14">
        <f>I4/I5</f>
        <v>0.0154345205</v>
      </c>
      <c r="J6" s="14">
        <f>J4/J5</f>
        <v>0.0082564487</v>
      </c>
    </row>
    <row r="7">
      <c r="A7" t="inlineStr">
        <is>
          <t>TOL / TNW (x)</t>
        </is>
      </c>
      <c r="B7" s="13">
        <f>('Balance Sheet'!B14-'Balance Sheet'!B15)/'Balance Sheet'!B15</f>
        <v>1.6812445109</v>
      </c>
      <c r="C7" s="13">
        <f>('Balance Sheet'!C14-'Balance Sheet'!C15)/'Balance Sheet'!C15</f>
        <v>1.6799952783</v>
      </c>
      <c r="D7" s="13">
        <f>('Balance Sheet'!D14-'Balance Sheet'!D15)/'Balance Sheet'!D15</f>
        <v>1.2160166129</v>
      </c>
      <c r="E7" s="13">
        <f>('Balance Sheet'!E14-'Balance Sheet'!E15)/'Balance Sheet'!E15</f>
        <v>1.1804883852</v>
      </c>
      <c r="F7" s="14">
        <f>('Balance Sheet'!F14-'Balance Sheet'!F15)/'Balance Sheet'!F15</f>
        <v>1.025957176</v>
      </c>
      <c r="G7" s="14">
        <f>('Balance Sheet'!G14-'Balance Sheet'!G15)/'Balance Sheet'!G15</f>
        <v>0.9250117641</v>
      </c>
      <c r="H7" s="14">
        <f>('Balance Sheet'!H14-'Balance Sheet'!H15)/'Balance Sheet'!H15</f>
        <v>0.8417047538</v>
      </c>
      <c r="I7" s="14">
        <f>('Balance Sheet'!I14-'Balance Sheet'!I15)/'Balance Sheet'!I15</f>
        <v>0.7657479719</v>
      </c>
      <c r="J7" s="14">
        <f>('Balance Sheet'!J14-'Balance Sheet'!J15)/'Balance Sheet'!J15</f>
        <v>0.7021032515</v>
      </c>
    </row>
    <row r="8">
      <c r="A8" t="inlineStr">
        <is>
          <t>Total debt / OPBDITA (x)</t>
        </is>
      </c>
      <c r="B8" s="13">
        <f>B4/'Income Statement'!B6</f>
        <v>1.1003616883</v>
      </c>
      <c r="C8" s="13">
        <f>C4/'Income Statement'!C6</f>
        <v>0.4991555557</v>
      </c>
      <c r="D8" s="13">
        <f>D4/'Income Statement'!D6</f>
        <v>0.3005175883</v>
      </c>
      <c r="E8" s="13">
        <f>E4/'Income Statement'!E6</f>
        <v>0.2084766017</v>
      </c>
      <c r="F8" s="14">
        <f>F4/'Income Statement'!F6</f>
        <v>0.1165574665</v>
      </c>
      <c r="G8" s="14">
        <f>G4/'Income Statement'!G6</f>
        <v>0.0893745278</v>
      </c>
      <c r="H8" s="14">
        <f>H4/'Income Statement'!H6</f>
        <v>0.069476077</v>
      </c>
      <c r="I8" s="14">
        <f>I4/'Income Statement'!I6</f>
        <v>0.0545741603</v>
      </c>
      <c r="J8" s="14">
        <f>J4/'Income Statement'!J6</f>
        <v>0.0284493577</v>
      </c>
    </row>
    <row r="9">
      <c r="A9" t="inlineStr">
        <is>
          <t>Interest coverage - OPBDITA / finance costs (x)</t>
        </is>
      </c>
      <c r="B9" s="13">
        <f>'Income Statement'!B6/'Income Statement'!B9</f>
        <v>10.1376733889</v>
      </c>
      <c r="C9" s="13">
        <f>'Income Statement'!C6/'Income Statement'!C9</f>
        <v>18.4676876203</v>
      </c>
      <c r="D9" s="13">
        <f>'Income Statement'!D6/'Income Statement'!D9</f>
        <v>22.7309022175</v>
      </c>
      <c r="E9" s="13">
        <f>'Income Statement'!E6/'Income Statement'!E9</f>
        <v>33.7727567313</v>
      </c>
      <c r="F9" s="14">
        <f>'Income Statement'!F6/'Income Statement'!F9</f>
        <v>38.8662877205</v>
      </c>
      <c r="G9" s="14">
        <f>'Income Statement'!G6/'Income Statement'!G9</f>
        <v>47.2778553742</v>
      </c>
      <c r="H9" s="14">
        <f>'Income Statement'!H6/'Income Statement'!H9</f>
        <v>50.2608964535</v>
      </c>
      <c r="I9" s="14">
        <f>'Income Statement'!I6/'Income Statement'!I9</f>
        <v>48.737900332</v>
      </c>
      <c r="J9" s="14">
        <f>'Income Statement'!J6/'Income Statement'!J9</f>
        <v>60.0303643814</v>
      </c>
    </row>
    <row r="10">
      <c r="A10" t="inlineStr">
        <is>
          <t>DSCR - (PAT + interest + D&amp;A) / (interest + repayments) (x)</t>
        </is>
      </c>
      <c r="B10" s="13">
        <f>('Income Statement'!B14+'Income Statement'!B9+'Income Statement'!B8)/('Income Statement'!B9+'Cash Flow'!B6)</f>
        <v>3.6106040329</v>
      </c>
      <c r="C10" s="13">
        <f>('Income Statement'!C14+'Income Statement'!C9+'Income Statement'!C8)/('Income Statement'!C9+'Cash Flow'!C6)</f>
        <v>2.6469780423</v>
      </c>
      <c r="D10" s="13">
        <f>('Income Statement'!D14+'Income Statement'!D9+'Income Statement'!D8)/('Income Statement'!D9+'Cash Flow'!D6)</f>
        <v>4.6812640784</v>
      </c>
      <c r="E10" s="13">
        <f>('Income Statement'!E14+'Income Statement'!E9+'Income Statement'!E8)/('Income Statement'!E9+'Cash Flow'!E6)</f>
        <v>8.1015964903</v>
      </c>
      <c r="F10" s="14">
        <f>('Income Statement'!F14+'Income Statement'!F9+'Income Statement'!F8)/('Income Statement'!F9+'Cash Flow'!F6)</f>
        <v>7.8736919819</v>
      </c>
      <c r="G10" s="14">
        <f>('Income Statement'!G14+'Income Statement'!G9+'Income Statement'!G8)/('Income Statement'!G9+'Cash Flow'!G6)</f>
        <v>20.17892959</v>
      </c>
      <c r="H10" s="14">
        <f>('Income Statement'!H14+'Income Statement'!H9+'Income Statement'!H8)/('Income Statement'!H9+'Cash Flow'!H6)</f>
        <v>21.0433253601</v>
      </c>
      <c r="I10" s="14">
        <f>('Income Statement'!I14+'Income Statement'!I9+'Income Statement'!I8)/('Income Statement'!I9+'Cash Flow'!I6)</f>
        <v>20.1826974636</v>
      </c>
      <c r="J10" s="14">
        <f>('Income Statement'!J14+'Income Statement'!J9+'Income Statement'!J8)/('Income Statement'!J9+'Cash Flow'!J6)</f>
        <v>23.7137502611</v>
      </c>
    </row>
    <row r="11">
      <c r="A11" t="inlineStr">
        <is>
          <t>NCA / total debt (x)</t>
        </is>
      </c>
      <c r="B11" s="13">
        <f>('Income Statement'!B14+'Income Statement'!B8-'Cash Flow'!B5)/B4</f>
        <v>0.5639118961</v>
      </c>
      <c r="C11" s="13">
        <f>('Income Statement'!C14+'Income Statement'!C8-'Cash Flow'!C5)/C4</f>
        <v>1.1186787858</v>
      </c>
      <c r="D11" s="13">
        <f>('Income Statement'!D14+'Income Statement'!D8-'Cash Flow'!D5)/D4</f>
        <v>1.337540156</v>
      </c>
      <c r="E11" s="13">
        <f>('Income Statement'!E14+'Income Statement'!E8-'Cash Flow'!E5)/E4</f>
        <v>2.0462076583</v>
      </c>
      <c r="F11" s="14">
        <f>('Income Statement'!F14+'Income Statement'!F8-'Cash Flow'!F5)/F4</f>
        <v>3.9829473299</v>
      </c>
      <c r="G11" s="14">
        <f>('Income Statement'!G14+'Income Statement'!G8-'Cash Flow'!G5)/G4</f>
        <v>5.1522554362</v>
      </c>
      <c r="H11" s="14">
        <f>('Income Statement'!H14+'Income Statement'!H8-'Cash Flow'!H5)/H4</f>
        <v>6.399544751</v>
      </c>
      <c r="I11" s="14">
        <f>('Income Statement'!I14+'Income Statement'!I8-'Cash Flow'!I5)/I4</f>
        <v>7.7457154363</v>
      </c>
      <c r="J11" s="14">
        <f>('Income Statement'!J14+'Income Statement'!J8-'Cash Flow'!J5)/J4</f>
        <v>17.7165832213</v>
      </c>
    </row>
    <row r="12">
      <c r="A12" t="inlineStr">
        <is>
          <t>RoCE - PBIT / avg (debt + TNW + DTL - CWIP) (%)</t>
        </is>
      </c>
      <c r="B12" s="13" t="n"/>
      <c r="C12" s="13">
        <f>100*('Income Statement'!C6-'Income Statement'!C8)/((C4+'Balance Sheet'!C15+'Balance Sheet'!C18-'Balance Sheet'!C3+B4+'Balance Sheet'!B15+'Balance Sheet'!B18-'Balance Sheet'!B3)/2)</f>
        <v>32.850250932</v>
      </c>
      <c r="D12" s="13">
        <f>100*('Income Statement'!D6-'Income Statement'!D8)/((D4+'Balance Sheet'!D15+'Balance Sheet'!D18-'Balance Sheet'!D3+C4+'Balance Sheet'!C15+'Balance Sheet'!C18-'Balance Sheet'!C3)/2)</f>
        <v>33.9039243091</v>
      </c>
      <c r="E12" s="13">
        <f>100*('Income Statement'!E6-'Income Statement'!E8)/((E4+'Balance Sheet'!E15+'Balance Sheet'!E18-'Balance Sheet'!E3+D4+'Balance Sheet'!D15+'Balance Sheet'!D18-'Balance Sheet'!D3)/2)</f>
        <v>35.95721594</v>
      </c>
      <c r="F12" s="14">
        <f>100*('Income Statement'!F6-'Income Statement'!F8)/((F4+'Balance Sheet'!F15+'Balance Sheet'!F18-'Balance Sheet'!F3+E4+'Balance Sheet'!E15+'Balance Sheet'!E18-'Balance Sheet'!E3)/2)</f>
        <v>34.4771370874</v>
      </c>
      <c r="G12" s="14">
        <f>100*('Income Statement'!G6-'Income Statement'!G8)/((G4+'Balance Sheet'!G15+'Balance Sheet'!G18-'Balance Sheet'!G3+F4+'Balance Sheet'!F15+'Balance Sheet'!F18-'Balance Sheet'!F3)/2)</f>
        <v>32.9318276589</v>
      </c>
      <c r="H12" s="14">
        <f>100*('Income Statement'!H6-'Income Statement'!H8)/((H4+'Balance Sheet'!H15+'Balance Sheet'!H18-'Balance Sheet'!H3+G4+'Balance Sheet'!G15+'Balance Sheet'!G18-'Balance Sheet'!G3)/2)</f>
        <v>29.36455157</v>
      </c>
      <c r="I12" s="14">
        <f>100*('Income Statement'!I6-'Income Statement'!I8)/((I4+'Balance Sheet'!I15+'Balance Sheet'!I18-'Balance Sheet'!I3+H4+'Balance Sheet'!H15+'Balance Sheet'!H18-'Balance Sheet'!H3)/2)</f>
        <v>24.0164696141</v>
      </c>
      <c r="J12" s="14">
        <f>100*('Income Statement'!J6-'Income Statement'!J8)/((J4+'Balance Sheet'!J15+'Balance Sheet'!J18-'Balance Sheet'!J3+I4+'Balance Sheet'!I15+'Balance Sheet'!I18-'Balance Sheet'!I3)/2)</f>
        <v>25.8142764259</v>
      </c>
    </row>
    <row r="13">
      <c r="A13" t="inlineStr">
        <is>
          <t>Current ratio (x)</t>
        </is>
      </c>
      <c r="B13" s="13">
        <f>('Balance Sheet'!B8+'Balance Sheet'!B9+'Balance Sheet'!B10+'Balance Sheet'!B11+'Balance Sheet'!B12)/('Balance Sheet'!B20+'Balance Sheet'!B21+'Balance Sheet'!B22+'Balance Sheet'!B23)</f>
        <v>1.0515072867</v>
      </c>
      <c r="C13" s="13">
        <f>('Balance Sheet'!C8+'Balance Sheet'!C9+'Balance Sheet'!C10+'Balance Sheet'!C11+'Balance Sheet'!C12)/('Balance Sheet'!C20+'Balance Sheet'!C21+'Balance Sheet'!C22+'Balance Sheet'!C23)</f>
        <v>0.9633422133</v>
      </c>
      <c r="D13" s="13">
        <f>('Balance Sheet'!D8+'Balance Sheet'!D9+'Balance Sheet'!D10+'Balance Sheet'!D11+'Balance Sheet'!D12)/('Balance Sheet'!D20+'Balance Sheet'!D21+'Balance Sheet'!D22+'Balance Sheet'!D23)</f>
        <v>1.0772343742</v>
      </c>
      <c r="E13" s="13">
        <f>('Balance Sheet'!E8+'Balance Sheet'!E9+'Balance Sheet'!E10+'Balance Sheet'!E11+'Balance Sheet'!E12)/('Balance Sheet'!E20+'Balance Sheet'!E21+'Balance Sheet'!E22+'Balance Sheet'!E23)</f>
        <v>1.1002015512</v>
      </c>
      <c r="F13" s="14">
        <f>('Balance Sheet'!F8+'Balance Sheet'!F9+'Balance Sheet'!F10+'Balance Sheet'!F11+'Balance Sheet'!F12)/('Balance Sheet'!F20+'Balance Sheet'!F21+'Balance Sheet'!F22+'Balance Sheet'!F23)</f>
        <v>1.1728694702</v>
      </c>
      <c r="G13" s="14">
        <f>('Balance Sheet'!G8+'Balance Sheet'!G9+'Balance Sheet'!G10+'Balance Sheet'!G11+'Balance Sheet'!G12)/('Balance Sheet'!G20+'Balance Sheet'!G21+'Balance Sheet'!G22+'Balance Sheet'!G23)</f>
        <v>1.2518522935</v>
      </c>
      <c r="H13" s="14">
        <f>('Balance Sheet'!H8+'Balance Sheet'!H9+'Balance Sheet'!H10+'Balance Sheet'!H11+'Balance Sheet'!H12)/('Balance Sheet'!H20+'Balance Sheet'!H21+'Balance Sheet'!H22+'Balance Sheet'!H23)</f>
        <v>1.3324744701</v>
      </c>
      <c r="I13" s="14">
        <f>('Balance Sheet'!I8+'Balance Sheet'!I9+'Balance Sheet'!I10+'Balance Sheet'!I11+'Balance Sheet'!I12)/('Balance Sheet'!I20+'Balance Sheet'!I21+'Balance Sheet'!I22+'Balance Sheet'!I23)</f>
        <v>1.4028113854</v>
      </c>
      <c r="J13" s="14">
        <f>('Balance Sheet'!J8+'Balance Sheet'!J9+'Balance Sheet'!J10+'Balance Sheet'!J11+'Balance Sheet'!J12)/('Balance Sheet'!J20+'Balance Sheet'!J21+'Balance Sheet'!J22+'Balance Sheet'!J23)</f>
        <v>1.5212753828</v>
      </c>
    </row>
    <row r="14">
      <c r="A14" t="inlineStr">
        <is>
          <t>Net debt (negative = net cash)</t>
        </is>
      </c>
      <c r="B14" s="8">
        <f>B4-'Balance Sheet'!B10</f>
        <v>-0.7</v>
      </c>
      <c r="C14" s="8">
        <f>C4-'Balance Sheet'!C10</f>
        <v>132.37</v>
      </c>
      <c r="D14" s="8">
        <f>D4-'Balance Sheet'!D10</f>
        <v>-4196.8</v>
      </c>
      <c r="E14" s="8">
        <f>E4-'Balance Sheet'!E10</f>
        <v>-5755.76</v>
      </c>
      <c r="F14" s="9">
        <f>F4-'Balance Sheet'!F10</f>
        <v>-7118.6907</v>
      </c>
      <c r="G14" s="9">
        <f>G4-'Balance Sheet'!G10</f>
        <v>-8601.0318</v>
      </c>
      <c r="H14" s="9">
        <f>H4-'Balance Sheet'!H10</f>
        <v>-10081.9946</v>
      </c>
      <c r="I14" s="9">
        <f>I4-'Balance Sheet'!I10</f>
        <v>-11154.6526</v>
      </c>
      <c r="J14" s="9">
        <f>J4-'Balance Sheet'!J10</f>
        <v>-13206.3499</v>
      </c>
    </row>
    <row r="16">
      <c r="A16" t="inlineStr">
        <is>
          <t>ICRA indicative bands (960 / 1006): RoCE &gt;=25% strongest, &lt;10% weakest; TOL/TNW &lt;=0.9x / &gt;3.0x; Total debt/OPBDITA &lt;=0.5x / &gt;5.0x; Interest coverage &gt;=18x / &lt;2x; DSCR &gt;=4.0x / &lt;1.1x.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7" max="7"/>
  </cols>
  <sheetData>
    <row r="1">
      <c r="A1" s="2" t="inlineStr">
        <is>
          <t>Scenario / metric</t>
        </is>
      </c>
      <c r="B1" s="2" t="inlineStr">
        <is>
          <t>FY2027E</t>
        </is>
      </c>
      <c r="C1" s="2" t="inlineStr">
        <is>
          <t>FY2028E</t>
        </is>
      </c>
      <c r="D1" s="2" t="inlineStr">
        <is>
          <t>FY2029E</t>
        </is>
      </c>
      <c r="E1" s="2" t="inlineStr">
        <is>
          <t>FY2030E</t>
        </is>
      </c>
      <c r="F1" s="2" t="inlineStr">
        <is>
          <t>FY2031E</t>
        </is>
      </c>
      <c r="G1" s="2" t="inlineStr">
        <is>
          <t>Note</t>
        </is>
      </c>
    </row>
    <row r="2">
      <c r="A2" s="4" t="inlineStr">
        <is>
          <t>BASE</t>
        </is>
      </c>
      <c r="B2" s="5" t="n"/>
      <c r="C2" s="5" t="n"/>
      <c r="D2" s="5" t="n"/>
      <c r="E2" s="5" t="n"/>
      <c r="F2" s="5" t="n"/>
      <c r="G2" s="5" t="n"/>
    </row>
    <row r="3">
      <c r="A3" t="inlineStr">
        <is>
          <t>Total vehicles</t>
        </is>
      </c>
      <c r="B3" s="6" t="n">
        <v>231458.85</v>
      </c>
      <c r="C3" s="6" t="n">
        <v>243031.79</v>
      </c>
      <c r="D3" s="6" t="n">
        <v>247892.43</v>
      </c>
      <c r="E3" s="6" t="n">
        <v>237976.73</v>
      </c>
      <c r="F3" s="6" t="n">
        <v>247495.8</v>
      </c>
    </row>
    <row r="4">
      <c r="A4" t="inlineStr">
        <is>
          <t>Revenue from operations</t>
        </is>
      </c>
      <c r="B4" s="6" t="n">
        <v>46937.56</v>
      </c>
      <c r="C4" s="6" t="n">
        <v>50070.19</v>
      </c>
      <c r="D4" s="6" t="n">
        <v>52078.93</v>
      </c>
      <c r="E4" s="6" t="n">
        <v>51435.39</v>
      </c>
      <c r="F4" s="6" t="n">
        <v>54367.48</v>
      </c>
    </row>
    <row r="5">
      <c r="A5" t="inlineStr">
        <is>
          <t>OPBDITA margin (%)</t>
        </is>
      </c>
      <c r="B5" s="13" t="n">
        <v>13</v>
      </c>
      <c r="C5" s="13" t="n">
        <v>13</v>
      </c>
      <c r="D5" s="13" t="n">
        <v>12.5</v>
      </c>
      <c r="E5" s="13" t="n">
        <v>11.5</v>
      </c>
      <c r="F5" s="13" t="n">
        <v>12.5</v>
      </c>
    </row>
    <row r="6">
      <c r="A6" t="inlineStr">
        <is>
          <t>PAT</t>
        </is>
      </c>
      <c r="B6" s="6" t="n">
        <v>4101.38</v>
      </c>
      <c r="C6" s="6" t="n">
        <v>4411.15</v>
      </c>
      <c r="D6" s="6" t="n">
        <v>4437.76</v>
      </c>
      <c r="E6" s="6" t="n">
        <v>4029.6</v>
      </c>
      <c r="F6" s="6" t="n">
        <v>4718.32</v>
      </c>
    </row>
    <row r="7">
      <c r="A7" t="inlineStr">
        <is>
          <t>Free cash and liquid investments</t>
        </is>
      </c>
      <c r="B7" s="6" t="n">
        <v>7829.91</v>
      </c>
      <c r="C7" s="6" t="n">
        <v>9182.780000000001</v>
      </c>
      <c r="D7" s="6" t="n">
        <v>10534.27</v>
      </c>
      <c r="E7" s="6" t="n">
        <v>11477.46</v>
      </c>
      <c r="F7" s="6" t="n">
        <v>13399.69</v>
      </c>
    </row>
    <row r="8">
      <c r="A8" t="inlineStr">
        <is>
          <t>New borrowing drawn (funding gap)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>
      <c r="A9" t="inlineStr">
        <is>
          <t>Total debt</t>
        </is>
      </c>
      <c r="B9" s="6" t="n">
        <v>711.22</v>
      </c>
      <c r="C9" s="6" t="n">
        <v>581.75</v>
      </c>
      <c r="D9" s="6" t="n">
        <v>452.28</v>
      </c>
      <c r="E9" s="6" t="n">
        <v>322.81</v>
      </c>
      <c r="F9" s="6" t="n">
        <v>193.34</v>
      </c>
    </row>
    <row r="10">
      <c r="A10" t="inlineStr">
        <is>
          <t>Net debt (negative = net cash)</t>
        </is>
      </c>
      <c r="B10" s="6" t="n">
        <v>-7118.69</v>
      </c>
      <c r="C10" s="6" t="n">
        <v>-8601.030000000001</v>
      </c>
      <c r="D10" s="6" t="n">
        <v>-10081.99</v>
      </c>
      <c r="E10" s="6" t="n">
        <v>-11154.65</v>
      </c>
      <c r="F10" s="6" t="n">
        <v>-13206.35</v>
      </c>
    </row>
    <row r="11">
      <c r="A11" t="inlineStr">
        <is>
          <t>TOL / TNW (x)</t>
        </is>
      </c>
      <c r="B11" s="13" t="n">
        <v>1.03</v>
      </c>
      <c r="C11" s="13" t="n">
        <v>0.93</v>
      </c>
      <c r="D11" s="13" t="n">
        <v>0.84</v>
      </c>
      <c r="E11" s="13" t="n">
        <v>0.77</v>
      </c>
      <c r="F11" s="13" t="n">
        <v>0.7</v>
      </c>
    </row>
    <row r="12">
      <c r="A12" t="inlineStr">
        <is>
          <t>Total debt / OPBDITA (x)</t>
        </is>
      </c>
      <c r="B12" s="13" t="n">
        <v>0.12</v>
      </c>
      <c r="C12" s="13" t="n">
        <v>0.09</v>
      </c>
      <c r="D12" s="13" t="n">
        <v>0.07000000000000001</v>
      </c>
      <c r="E12" s="13" t="n">
        <v>0.05</v>
      </c>
      <c r="F12" s="13" t="n">
        <v>0.03</v>
      </c>
    </row>
    <row r="13">
      <c r="A13" t="inlineStr">
        <is>
          <t>Interest coverage (x)</t>
        </is>
      </c>
      <c r="B13" s="13" t="n">
        <v>38.87</v>
      </c>
      <c r="C13" s="13" t="n">
        <v>47.28</v>
      </c>
      <c r="D13" s="13" t="n">
        <v>50.26</v>
      </c>
      <c r="E13" s="13" t="n">
        <v>48.74</v>
      </c>
      <c r="F13" s="13" t="n">
        <v>60.03</v>
      </c>
    </row>
    <row r="14">
      <c r="A14" t="inlineStr">
        <is>
          <t>DSCR (x)</t>
        </is>
      </c>
      <c r="B14" s="13" t="n">
        <v>7.87</v>
      </c>
      <c r="C14" s="13" t="n">
        <v>20.18</v>
      </c>
      <c r="D14" s="13" t="n">
        <v>21.04</v>
      </c>
      <c r="E14" s="13" t="n">
        <v>20.18</v>
      </c>
      <c r="F14" s="13" t="n">
        <v>23.71</v>
      </c>
    </row>
    <row r="15">
      <c r="A15" t="inlineStr">
        <is>
          <t>RoCE (%)</t>
        </is>
      </c>
      <c r="B15" s="13" t="n">
        <v>34.48</v>
      </c>
      <c r="C15" s="13" t="n">
        <v>32.93</v>
      </c>
      <c r="D15" s="13" t="n">
        <v>29.36</v>
      </c>
      <c r="E15" s="13" t="n">
        <v>24.02</v>
      </c>
      <c r="F15" s="13" t="n">
        <v>25.81</v>
      </c>
    </row>
    <row r="16">
      <c r="A16" s="4" t="inlineStr">
        <is>
          <t>BULL</t>
        </is>
      </c>
      <c r="B16" s="5" t="n"/>
      <c r="C16" s="5" t="n"/>
      <c r="D16" s="5" t="n"/>
      <c r="E16" s="5" t="n"/>
      <c r="F16" s="5" t="n"/>
      <c r="G16" s="5" t="n"/>
    </row>
    <row r="17">
      <c r="A17" t="inlineStr">
        <is>
          <t>Total vehicles</t>
        </is>
      </c>
      <c r="B17" s="6" t="n">
        <v>238071.96</v>
      </c>
      <c r="C17" s="6" t="n">
        <v>257117.72</v>
      </c>
      <c r="D17" s="6" t="n">
        <v>272544.78</v>
      </c>
      <c r="E17" s="6" t="n">
        <v>283446.57</v>
      </c>
      <c r="F17" s="6" t="n">
        <v>297618.9</v>
      </c>
    </row>
    <row r="18">
      <c r="A18" t="inlineStr">
        <is>
          <t>Revenue from operations</t>
        </is>
      </c>
      <c r="B18" s="6" t="n">
        <v>48236.94</v>
      </c>
      <c r="C18" s="6" t="n">
        <v>52886.41</v>
      </c>
      <c r="D18" s="6" t="n">
        <v>57013.44</v>
      </c>
      <c r="E18" s="6" t="n">
        <v>60352.38</v>
      </c>
      <c r="F18" s="6" t="n">
        <v>64557.14</v>
      </c>
    </row>
    <row r="19">
      <c r="A19" t="inlineStr">
        <is>
          <t>OPBDITA margin (%)</t>
        </is>
      </c>
      <c r="B19" s="13" t="n">
        <v>13.5</v>
      </c>
      <c r="C19" s="13" t="n">
        <v>14</v>
      </c>
      <c r="D19" s="13" t="n">
        <v>14.5</v>
      </c>
      <c r="E19" s="13" t="n">
        <v>14.5</v>
      </c>
      <c r="F19" s="13" t="n">
        <v>14.5</v>
      </c>
    </row>
    <row r="20">
      <c r="A20" t="inlineStr">
        <is>
          <t>PAT</t>
        </is>
      </c>
      <c r="B20" s="6" t="n">
        <v>4406.91</v>
      </c>
      <c r="C20" s="6" t="n">
        <v>5098.83</v>
      </c>
      <c r="D20" s="6" t="n">
        <v>5796.94</v>
      </c>
      <c r="E20" s="6" t="n">
        <v>6236.26</v>
      </c>
      <c r="F20" s="6" t="n">
        <v>6787.43</v>
      </c>
    </row>
    <row r="21">
      <c r="A21" t="inlineStr">
        <is>
          <t>Free cash and liquid investments</t>
        </is>
      </c>
      <c r="B21" s="6" t="n">
        <v>8391.440000000001</v>
      </c>
      <c r="C21" s="6" t="n">
        <v>10529.32</v>
      </c>
      <c r="D21" s="6" t="n">
        <v>13053.08</v>
      </c>
      <c r="E21" s="6" t="n">
        <v>15727.02</v>
      </c>
      <c r="F21" s="6" t="n">
        <v>18659.54</v>
      </c>
    </row>
    <row r="22">
      <c r="A22" t="inlineStr">
        <is>
          <t>New borrowing drawn (funding gap)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</row>
    <row r="23">
      <c r="A23" t="inlineStr">
        <is>
          <t>Total debt</t>
        </is>
      </c>
      <c r="B23" s="6" t="n">
        <v>711.22</v>
      </c>
      <c r="C23" s="6" t="n">
        <v>581.75</v>
      </c>
      <c r="D23" s="6" t="n">
        <v>452.28</v>
      </c>
      <c r="E23" s="6" t="n">
        <v>322.81</v>
      </c>
      <c r="F23" s="6" t="n">
        <v>193.34</v>
      </c>
    </row>
    <row r="24">
      <c r="A24" t="inlineStr">
        <is>
          <t>Net debt (negative = net cash)</t>
        </is>
      </c>
      <c r="B24" s="6" t="n">
        <v>-7680.22</v>
      </c>
      <c r="C24" s="6" t="n">
        <v>-9947.57</v>
      </c>
      <c r="D24" s="6" t="n">
        <v>-12600.8</v>
      </c>
      <c r="E24" s="6" t="n">
        <v>-15404.21</v>
      </c>
      <c r="F24" s="6" t="n">
        <v>-18466.2</v>
      </c>
    </row>
    <row r="25">
      <c r="A25" t="inlineStr">
        <is>
          <t>TOL / TNW (x)</t>
        </is>
      </c>
      <c r="B25" s="13" t="n">
        <v>1.02</v>
      </c>
      <c r="C25" s="13" t="n">
        <v>0.91</v>
      </c>
      <c r="D25" s="13" t="n">
        <v>0.8100000000000001</v>
      </c>
      <c r="E25" s="13" t="n">
        <v>0.73</v>
      </c>
      <c r="F25" s="13" t="n">
        <v>0.67</v>
      </c>
    </row>
    <row r="26">
      <c r="A26" t="inlineStr">
        <is>
          <t>Total debt / OPBDITA (x)</t>
        </is>
      </c>
      <c r="B26" s="13" t="n">
        <v>0.11</v>
      </c>
      <c r="C26" s="13" t="n">
        <v>0.08</v>
      </c>
      <c r="D26" s="13" t="n">
        <v>0.05</v>
      </c>
      <c r="E26" s="13" t="n">
        <v>0.04</v>
      </c>
      <c r="F26" s="13" t="n">
        <v>0.02</v>
      </c>
    </row>
    <row r="27">
      <c r="A27" t="inlineStr">
        <is>
          <t>Interest coverage (x)</t>
        </is>
      </c>
      <c r="B27" s="13" t="n">
        <v>41.48</v>
      </c>
      <c r="C27" s="13" t="n">
        <v>53.78</v>
      </c>
      <c r="D27" s="13" t="n">
        <v>63.83</v>
      </c>
      <c r="E27" s="13" t="n">
        <v>72.11</v>
      </c>
      <c r="F27" s="13" t="n">
        <v>82.69</v>
      </c>
    </row>
    <row r="28">
      <c r="A28" t="inlineStr">
        <is>
          <t>DSCR (x)</t>
        </is>
      </c>
      <c r="B28" s="13" t="n">
        <v>8.35</v>
      </c>
      <c r="C28" s="13" t="n">
        <v>22.75</v>
      </c>
      <c r="D28" s="13" t="n">
        <v>26.29</v>
      </c>
      <c r="E28" s="13" t="n">
        <v>28.98</v>
      </c>
      <c r="F28" s="13" t="n">
        <v>32.24</v>
      </c>
    </row>
    <row r="29">
      <c r="A29" t="inlineStr">
        <is>
          <t>RoCE (%)</t>
        </is>
      </c>
      <c r="B29" s="13" t="n">
        <v>36.77</v>
      </c>
      <c r="C29" s="13" t="n">
        <v>36.92</v>
      </c>
      <c r="D29" s="13" t="n">
        <v>36.06</v>
      </c>
      <c r="E29" s="13" t="n">
        <v>33.55</v>
      </c>
      <c r="F29" s="13" t="n">
        <v>31.91</v>
      </c>
    </row>
    <row r="30">
      <c r="A30" s="4" t="inlineStr">
        <is>
          <t>BEAR / RATING STRESS</t>
        </is>
      </c>
      <c r="B30" s="5" t="n"/>
      <c r="C30" s="5" t="n"/>
      <c r="D30" s="5" t="n"/>
      <c r="E30" s="5" t="n"/>
      <c r="F30" s="5" t="n"/>
      <c r="G30" s="5" t="n"/>
    </row>
    <row r="31">
      <c r="A31" t="inlineStr">
        <is>
          <t>Total vehicles</t>
        </is>
      </c>
      <c r="B31" s="6" t="n">
        <v>202802.04</v>
      </c>
      <c r="C31" s="6" t="n">
        <v>152101.53</v>
      </c>
      <c r="D31" s="6" t="n">
        <v>136891.38</v>
      </c>
      <c r="E31" s="6" t="n">
        <v>157425.08</v>
      </c>
      <c r="F31" s="6" t="n">
        <v>173167.59</v>
      </c>
    </row>
    <row r="32">
      <c r="A32" t="inlineStr">
        <is>
          <t>Revenue from operations</t>
        </is>
      </c>
      <c r="B32" s="6" t="n">
        <v>41338.55</v>
      </c>
      <c r="C32" s="6" t="n">
        <v>32516.5</v>
      </c>
      <c r="D32" s="6" t="n">
        <v>30103.96</v>
      </c>
      <c r="E32" s="6" t="n">
        <v>34050.21</v>
      </c>
      <c r="F32" s="6" t="n">
        <v>37429.05</v>
      </c>
    </row>
    <row r="33">
      <c r="A33" t="inlineStr">
        <is>
          <t>OPBDITA margin (%)</t>
        </is>
      </c>
      <c r="B33" s="13" t="n">
        <v>10.5</v>
      </c>
      <c r="C33" s="13" t="n">
        <v>6</v>
      </c>
      <c r="D33" s="13" t="n">
        <v>7.5</v>
      </c>
      <c r="E33" s="13" t="n">
        <v>10</v>
      </c>
      <c r="F33" s="13" t="n">
        <v>11</v>
      </c>
    </row>
    <row r="34">
      <c r="A34" t="inlineStr">
        <is>
          <t>PAT</t>
        </is>
      </c>
      <c r="B34" s="6" t="n">
        <v>2789.19</v>
      </c>
      <c r="C34" s="6" t="n">
        <v>987.9299999999999</v>
      </c>
      <c r="D34" s="6" t="n">
        <v>1174.07</v>
      </c>
      <c r="E34" s="6" t="n">
        <v>2023.4</v>
      </c>
      <c r="F34" s="6" t="n">
        <v>2593.16</v>
      </c>
    </row>
    <row r="35">
      <c r="A35" t="inlineStr">
        <is>
          <t>Free cash and liquid investments</t>
        </is>
      </c>
      <c r="B35" s="6" t="n">
        <v>6563.78</v>
      </c>
      <c r="C35" s="6" t="n">
        <v>5220.68</v>
      </c>
      <c r="D35" s="6" t="n">
        <v>4878.3</v>
      </c>
      <c r="E35" s="6" t="n">
        <v>6001.69</v>
      </c>
      <c r="F35" s="6" t="n">
        <v>7327.31</v>
      </c>
    </row>
    <row r="36">
      <c r="A36" t="inlineStr">
        <is>
          <t>New borrowing drawn (funding gap)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</row>
    <row r="37">
      <c r="A37" t="inlineStr">
        <is>
          <t>Total debt</t>
        </is>
      </c>
      <c r="B37" s="6" t="n">
        <v>711.22</v>
      </c>
      <c r="C37" s="6" t="n">
        <v>581.75</v>
      </c>
      <c r="D37" s="6" t="n">
        <v>452.28</v>
      </c>
      <c r="E37" s="6" t="n">
        <v>322.81</v>
      </c>
      <c r="F37" s="6" t="n">
        <v>193.34</v>
      </c>
    </row>
    <row r="38">
      <c r="A38" t="inlineStr">
        <is>
          <t>Net debt (negative = net cash)</t>
        </is>
      </c>
      <c r="B38" s="6" t="n">
        <v>-5852.56</v>
      </c>
      <c r="C38" s="6" t="n">
        <v>-4638.93</v>
      </c>
      <c r="D38" s="6" t="n">
        <v>-4426.02</v>
      </c>
      <c r="E38" s="6" t="n">
        <v>-5678.88</v>
      </c>
      <c r="F38" s="6" t="n">
        <v>-7133.97</v>
      </c>
    </row>
    <row r="39">
      <c r="A39" t="inlineStr">
        <is>
          <t>TOL / TNW (x)</t>
        </is>
      </c>
      <c r="B39" s="13" t="n">
        <v>1</v>
      </c>
      <c r="C39" s="13" t="n">
        <v>0.87</v>
      </c>
      <c r="D39" s="13" t="n">
        <v>0.78</v>
      </c>
      <c r="E39" s="13" t="n">
        <v>0.74</v>
      </c>
      <c r="F39" s="13" t="n">
        <v>0.6899999999999999</v>
      </c>
    </row>
    <row r="40">
      <c r="A40" t="inlineStr">
        <is>
          <t>Total debt / OPBDITA (x)</t>
        </is>
      </c>
      <c r="B40" s="13" t="n">
        <v>0.16</v>
      </c>
      <c r="C40" s="13" t="n">
        <v>0.3</v>
      </c>
      <c r="D40" s="13" t="n">
        <v>0.2</v>
      </c>
      <c r="E40" s="13" t="n">
        <v>0.09</v>
      </c>
      <c r="F40" s="13" t="n">
        <v>0.05</v>
      </c>
    </row>
    <row r="41">
      <c r="A41" t="inlineStr">
        <is>
          <t>Interest coverage (x)</t>
        </is>
      </c>
      <c r="B41" s="13" t="n">
        <v>27.65</v>
      </c>
      <c r="C41" s="13" t="n">
        <v>14.17</v>
      </c>
      <c r="D41" s="13" t="n">
        <v>17.43</v>
      </c>
      <c r="E41" s="13" t="n">
        <v>28.06</v>
      </c>
      <c r="F41" s="13" t="n">
        <v>36.37</v>
      </c>
    </row>
    <row r="42">
      <c r="A42" t="inlineStr">
        <is>
          <t>DSCR (x)</t>
        </is>
      </c>
      <c r="B42" s="13" t="n">
        <v>5.83</v>
      </c>
      <c r="C42" s="13" t="n">
        <v>7.27</v>
      </c>
      <c r="D42" s="13" t="n">
        <v>8.17</v>
      </c>
      <c r="E42" s="13" t="n">
        <v>11.79</v>
      </c>
      <c r="F42" s="13" t="n">
        <v>14.54</v>
      </c>
    </row>
    <row r="43">
      <c r="A43" t="inlineStr">
        <is>
          <t>RoCE (%)</t>
        </is>
      </c>
      <c r="B43" s="13" t="n">
        <v>23.61</v>
      </c>
      <c r="C43" s="13" t="n">
        <v>7.33</v>
      </c>
      <c r="D43" s="13" t="n">
        <v>9.1</v>
      </c>
      <c r="E43" s="13" t="n">
        <v>15.24</v>
      </c>
      <c r="F43" s="13" t="n">
        <v>17.6</v>
      </c>
    </row>
    <row r="44">
      <c r="A44" s="4" t="inlineStr">
        <is>
          <t>TAIL (FY2019-21 REPEAT)</t>
        </is>
      </c>
      <c r="B44" s="5" t="n"/>
      <c r="C44" s="5" t="n"/>
      <c r="D44" s="5" t="n"/>
      <c r="E44" s="5" t="n"/>
      <c r="F44" s="5" t="n"/>
      <c r="G44" s="5" t="n"/>
    </row>
    <row r="45">
      <c r="A45" t="inlineStr">
        <is>
          <t>Total vehicles</t>
        </is>
      </c>
      <c r="B45" s="6" t="n">
        <v>138875.31</v>
      </c>
      <c r="C45" s="6" t="n">
        <v>111100.25</v>
      </c>
      <c r="D45" s="6" t="n">
        <v>141097.31</v>
      </c>
      <c r="E45" s="6" t="n">
        <v>197536.24</v>
      </c>
      <c r="F45" s="6" t="n">
        <v>217289.87</v>
      </c>
    </row>
    <row r="46">
      <c r="A46" t="inlineStr">
        <is>
          <t>Revenue from operations</t>
        </is>
      </c>
      <c r="B46" s="6" t="n">
        <v>29788.99</v>
      </c>
      <c r="C46" s="6" t="n">
        <v>25038.43</v>
      </c>
      <c r="D46" s="6" t="n">
        <v>31428.84</v>
      </c>
      <c r="E46" s="6" t="n">
        <v>42859.65</v>
      </c>
      <c r="F46" s="6" t="n">
        <v>47623.61</v>
      </c>
    </row>
    <row r="47">
      <c r="A47" t="inlineStr">
        <is>
          <t>OPBDITA margin (%)</t>
        </is>
      </c>
      <c r="B47" s="13" t="n">
        <v>6</v>
      </c>
      <c r="C47" s="13" t="n">
        <v>3</v>
      </c>
      <c r="D47" s="13" t="n">
        <v>8</v>
      </c>
      <c r="E47" s="13" t="n">
        <v>11</v>
      </c>
      <c r="F47" s="13" t="n">
        <v>12.5</v>
      </c>
    </row>
    <row r="48">
      <c r="A48" t="inlineStr">
        <is>
          <t>PAT</t>
        </is>
      </c>
      <c r="B48" s="6" t="n">
        <v>887.05</v>
      </c>
      <c r="C48" s="6" t="n">
        <v>18.25</v>
      </c>
      <c r="D48" s="6" t="n">
        <v>1292.84</v>
      </c>
      <c r="E48" s="6" t="n">
        <v>2952.7</v>
      </c>
      <c r="F48" s="6" t="n">
        <v>3943.28</v>
      </c>
    </row>
    <row r="49">
      <c r="A49" t="inlineStr">
        <is>
          <t>Free cash and liquid investments</t>
        </is>
      </c>
      <c r="B49" s="6" t="n">
        <v>4263.86</v>
      </c>
      <c r="C49" s="6" t="n">
        <v>2783.94</v>
      </c>
      <c r="D49" s="6" t="n">
        <v>3205.89</v>
      </c>
      <c r="E49" s="6" t="n">
        <v>5424.07</v>
      </c>
      <c r="F49" s="6" t="n">
        <v>7775.35</v>
      </c>
    </row>
    <row r="50">
      <c r="A50" t="inlineStr">
        <is>
          <t>New borrowing drawn (funding gap)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</row>
    <row r="51">
      <c r="A51" t="inlineStr">
        <is>
          <t>Total debt</t>
        </is>
      </c>
      <c r="B51" s="6" t="n">
        <v>711.22</v>
      </c>
      <c r="C51" s="6" t="n">
        <v>581.75</v>
      </c>
      <c r="D51" s="6" t="n">
        <v>452.28</v>
      </c>
      <c r="E51" s="6" t="n">
        <v>322.81</v>
      </c>
      <c r="F51" s="6" t="n">
        <v>193.34</v>
      </c>
    </row>
    <row r="52">
      <c r="A52" t="inlineStr">
        <is>
          <t>Net debt (negative = net cash)</t>
        </is>
      </c>
      <c r="B52" s="6" t="n">
        <v>-3552.64</v>
      </c>
      <c r="C52" s="6" t="n">
        <v>-2202.19</v>
      </c>
      <c r="D52" s="6" t="n">
        <v>-2753.61</v>
      </c>
      <c r="E52" s="6" t="n">
        <v>-5101.26</v>
      </c>
      <c r="F52" s="6" t="n">
        <v>-7582.01</v>
      </c>
    </row>
    <row r="53">
      <c r="A53" t="inlineStr">
        <is>
          <t>TOL / TNW (x)</t>
        </is>
      </c>
      <c r="B53" s="13" t="n">
        <v>0.98</v>
      </c>
      <c r="C53" s="13" t="n">
        <v>0.92</v>
      </c>
      <c r="D53" s="13" t="n">
        <v>0.91</v>
      </c>
      <c r="E53" s="13" t="n">
        <v>0.89</v>
      </c>
      <c r="F53" s="13" t="n">
        <v>0.79</v>
      </c>
    </row>
    <row r="54">
      <c r="A54" t="inlineStr">
        <is>
          <t>Total debt / OPBDITA (x)</t>
        </is>
      </c>
      <c r="B54" s="13" t="n">
        <v>0.4</v>
      </c>
      <c r="C54" s="13" t="n">
        <v>0.77</v>
      </c>
      <c r="D54" s="13" t="n">
        <v>0.18</v>
      </c>
      <c r="E54" s="13" t="n">
        <v>0.07000000000000001</v>
      </c>
      <c r="F54" s="13" t="n">
        <v>0.03</v>
      </c>
    </row>
    <row r="55">
      <c r="A55" t="inlineStr">
        <is>
          <t>Interest coverage (x)</t>
        </is>
      </c>
      <c r="B55" s="13" t="n">
        <v>11.38</v>
      </c>
      <c r="C55" s="13" t="n">
        <v>5.46</v>
      </c>
      <c r="D55" s="13" t="n">
        <v>19.41</v>
      </c>
      <c r="E55" s="13" t="n">
        <v>38.85</v>
      </c>
      <c r="F55" s="13" t="n">
        <v>52.58</v>
      </c>
    </row>
    <row r="56">
      <c r="A56" t="inlineStr">
        <is>
          <t>DSCR (x)</t>
        </is>
      </c>
      <c r="B56" s="13" t="n">
        <v>2.86</v>
      </c>
      <c r="C56" s="13" t="n">
        <v>3.59</v>
      </c>
      <c r="D56" s="13" t="n">
        <v>8.539999999999999</v>
      </c>
      <c r="E56" s="13" t="n">
        <v>15.41</v>
      </c>
      <c r="F56" s="13" t="n">
        <v>20.09</v>
      </c>
    </row>
    <row r="57">
      <c r="A57" t="inlineStr">
        <is>
          <t>RoCE (%)</t>
        </is>
      </c>
      <c r="B57" s="13" t="n">
        <v>7.09</v>
      </c>
      <c r="C57" s="13" t="n">
        <v>-0.38</v>
      </c>
      <c r="D57" s="13" t="n">
        <v>12.53</v>
      </c>
      <c r="E57" s="13" t="n">
        <v>25.21</v>
      </c>
      <c r="F57" s="13" t="n">
        <v>28.14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70" customWidth="1" min="11" max="11"/>
  </cols>
  <sheetData>
    <row r="1">
      <c r="A1" s="3" t="inlineStr">
        <is>
          <t>Rs crore</t>
        </is>
      </c>
      <c r="B1" s="3" t="inlineStr">
        <is>
          <t>FY2023</t>
        </is>
      </c>
      <c r="C1" s="3" t="inlineStr">
        <is>
          <t>FY2024</t>
        </is>
      </c>
      <c r="D1" s="3" t="inlineStr">
        <is>
          <t>FY2025</t>
        </is>
      </c>
      <c r="E1" s="3" t="inlineStr">
        <is>
          <t>FY2026</t>
        </is>
      </c>
      <c r="F1" s="3" t="inlineStr">
        <is>
          <t>FY2027E</t>
        </is>
      </c>
      <c r="G1" s="3" t="inlineStr">
        <is>
          <t>FY2028E</t>
        </is>
      </c>
      <c r="H1" s="3" t="inlineStr">
        <is>
          <t>FY2029E</t>
        </is>
      </c>
      <c r="I1" s="3" t="inlineStr">
        <is>
          <t>FY2030E</t>
        </is>
      </c>
      <c r="J1" s="3" t="inlineStr">
        <is>
          <t>FY2031E</t>
        </is>
      </c>
      <c r="K1" s="3" t="inlineStr">
        <is>
          <t>Source / note</t>
        </is>
      </c>
    </row>
    <row r="2">
      <c r="A2" t="inlineStr">
        <is>
          <t>OPBDITA</t>
        </is>
      </c>
      <c r="B2" s="8" t="n">
        <v>2930.7</v>
      </c>
      <c r="C2" s="8" t="n">
        <v>4606.58</v>
      </c>
      <c r="D2" s="8" t="n">
        <v>4930.56</v>
      </c>
      <c r="E2" s="8" t="n">
        <v>5732.25</v>
      </c>
      <c r="F2" s="9" t="n">
        <v>6101.8828</v>
      </c>
      <c r="G2" s="9" t="n">
        <v>6509.1253</v>
      </c>
      <c r="H2" s="9" t="n">
        <v>6509.8667</v>
      </c>
      <c r="I2" s="9" t="n">
        <v>5915.0704</v>
      </c>
      <c r="J2" s="9" t="n">
        <v>6795.9355</v>
      </c>
      <c r="K2" t="inlineStr">
        <is>
          <t>Income Statement</t>
        </is>
      </c>
    </row>
    <row r="3">
      <c r="A3" t="inlineStr">
        <is>
          <t>Less: tax on operating profit (25.5% x (OPBDITA - D&amp;A))</t>
        </is>
      </c>
      <c r="B3" s="8" t="n"/>
      <c r="C3" s="8" t="n"/>
      <c r="D3" s="8" t="n"/>
      <c r="E3" s="8" t="n"/>
      <c r="F3" s="9" t="n">
        <v>1355.2402</v>
      </c>
      <c r="G3" s="9" t="n">
        <v>1445.1347</v>
      </c>
      <c r="H3" s="9" t="n">
        <v>1434.9108</v>
      </c>
      <c r="I3" s="9" t="n">
        <v>1275.8952</v>
      </c>
      <c r="J3" s="9" t="n">
        <v>1497.5265</v>
      </c>
      <c r="K3" t="inlineStr"/>
    </row>
    <row r="4">
      <c r="A4" t="inlineStr">
        <is>
          <t>Less: capex</t>
        </is>
      </c>
      <c r="B4" s="8" t="n">
        <v>502.05</v>
      </c>
      <c r="C4" s="8" t="n">
        <v>495.5</v>
      </c>
      <c r="D4" s="8" t="n">
        <v>954.29</v>
      </c>
      <c r="E4" s="8" t="n">
        <v>1049.53</v>
      </c>
      <c r="F4" s="9" t="n">
        <v>1200</v>
      </c>
      <c r="G4" s="9" t="n">
        <v>1150</v>
      </c>
      <c r="H4" s="9" t="n">
        <v>1100</v>
      </c>
      <c r="I4" s="9" t="n">
        <v>1000</v>
      </c>
      <c r="J4" s="9" t="n">
        <v>1100</v>
      </c>
      <c r="K4" t="inlineStr"/>
    </row>
    <row r="5">
      <c r="A5" t="inlineStr">
        <is>
          <t>Less: increase in operating working capital (inventory + receivables - payables)</t>
        </is>
      </c>
      <c r="B5" s="8" t="n"/>
      <c r="C5" s="8" t="n"/>
      <c r="D5" s="8" t="n"/>
      <c r="E5" s="8" t="n"/>
      <c r="F5" s="9" t="n">
        <v>-130.1788</v>
      </c>
      <c r="G5" s="9" t="n">
        <v>-135.0166</v>
      </c>
      <c r="H5" s="9" t="n">
        <v>-86.5766</v>
      </c>
      <c r="I5" s="9" t="n">
        <v>27.7365</v>
      </c>
      <c r="J5" s="9" t="n">
        <v>-126.373</v>
      </c>
      <c r="K5" t="inlineStr"/>
    </row>
    <row r="6">
      <c r="A6" s="10" t="inlineStr">
        <is>
          <t>UNLEVERED FREE CASH FLOW (standalone, before support to subsidiaries)</t>
        </is>
      </c>
      <c r="B6" s="11" t="n"/>
      <c r="C6" s="11" t="n"/>
      <c r="D6" s="11" t="n"/>
      <c r="E6" s="11" t="n"/>
      <c r="F6" s="12" t="n">
        <v>3676.8214</v>
      </c>
      <c r="G6" s="12" t="n">
        <v>4049.0072</v>
      </c>
      <c r="H6" s="12" t="n">
        <v>4061.5324</v>
      </c>
      <c r="I6" s="12" t="n">
        <v>3611.4387</v>
      </c>
      <c r="J6" s="12" t="n">
        <v>4324.7821</v>
      </c>
      <c r="K6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DCF of the standalone CV business (Rs crore) - informs financial flexibility only (Step 12(f)); it does not move the grade.</t>
        </is>
      </c>
    </row>
    <row r="2">
      <c r="A2" t="inlineStr">
        <is>
          <t>Cost of equity = risk-free 6.5% + beta 1.1 x ERP 5.5% = 12.55%; AL is net-cash, so WACC ~= cost of equity, rounded to 12.5%. Terminal growth 5.0% (nominal). ALL ANALYST ASSUMPTIONS - not market-sourced.</t>
        </is>
      </c>
    </row>
    <row r="3">
      <c r="A3" t="inlineStr">
        <is>
          <t>Enterprise value (WACC 12.5%, g 5.0%)</t>
        </is>
      </c>
      <c r="B3" t="n">
        <v>47574</v>
      </c>
    </row>
    <row r="4">
      <c r="A4" t="inlineStr">
        <is>
          <t>Add: free cash and liquid investments, 31-Mar-2026</t>
        </is>
      </c>
      <c r="B4" t="n">
        <v>6951</v>
      </c>
    </row>
    <row r="5">
      <c r="A5" t="inlineStr">
        <is>
          <t>Less: total debt, 31-Mar-2026</t>
        </is>
      </c>
      <c r="B5" t="n">
        <v>1195</v>
      </c>
    </row>
    <row r="6">
      <c r="A6" t="inlineStr">
        <is>
          <t>Add: investments in subsidiaries/associates at book (incl. HLF), 31-Mar-2026</t>
        </is>
      </c>
      <c r="B6" t="n">
        <v>6559</v>
      </c>
      <c r="C6" t="inlineStr">
        <is>
          <t>book value; HLF is unlisted - no market value available</t>
        </is>
      </c>
    </row>
    <row r="7">
      <c r="A7" t="inlineStr">
        <is>
          <t>Implied equity value (Rs crore)</t>
        </is>
      </c>
      <c r="B7" t="n">
        <v>59889</v>
      </c>
    </row>
    <row r="8">
      <c r="A8" t="inlineStr">
        <is>
          <t>Implied value per share (Rs)</t>
        </is>
      </c>
      <c r="B8" t="n">
        <v>102</v>
      </c>
      <c r="C8" t="inlineStr">
        <is>
          <t>587.39 crore shares</t>
        </is>
      </c>
    </row>
    <row r="10">
      <c r="A10" t="inlineStr">
        <is>
          <t>Market price (Rs, 01-Oct-2026; third-party aggregator, not NSE-verified)</t>
        </is>
      </c>
      <c r="B10" t="n">
        <v>150.48</v>
      </c>
      <c r="C10" t="inlineStr">
        <is>
          <t>52-week range Rs 134.21-215.42 (same source)</t>
        </is>
      </c>
    </row>
    <row r="11">
      <c r="A11" t="inlineStr">
        <is>
          <t>Market capitalisation (Rs crore) = price x 587.39 crore shares</t>
        </is>
      </c>
      <c r="B11" t="n">
        <v>88390</v>
      </c>
    </row>
    <row r="12">
      <c r="A12" t="inlineStr">
        <is>
          <t>Market capitalisation / standalone total debt 31-Mar-2026 (x)</t>
        </is>
      </c>
      <c r="B12" t="n">
        <v>74</v>
      </c>
      <c r="C12" t="inlineStr">
        <is>
          <t>the financial-flexibility reading: equity cushion over debt</t>
        </is>
      </c>
    </row>
    <row r="13">
      <c r="A13" t="inlineStr">
        <is>
          <t>DCF value / market price</t>
        </is>
      </c>
      <c r="B13" t="n">
        <v>0.68</v>
      </c>
      <c r="C13" t="inlineStr">
        <is>
          <t>below 1: the market prices more growth or a lower discount rate than this conservative DCF</t>
        </is>
      </c>
    </row>
    <row r="15">
      <c r="A15" t="inlineStr">
        <is>
          <t>Sensitivity: equity value (Rs crore)</t>
        </is>
      </c>
      <c r="B15" t="inlineStr">
        <is>
          <t>g 4.0%</t>
        </is>
      </c>
      <c r="C15" t="inlineStr">
        <is>
          <t>g 4.5%</t>
        </is>
      </c>
      <c r="D15" t="inlineStr">
        <is>
          <t>g 5.0%</t>
        </is>
      </c>
      <c r="E15" t="inlineStr">
        <is>
          <t>g 5.5%</t>
        </is>
      </c>
      <c r="F15" t="inlineStr">
        <is>
          <t>g 6.0%</t>
        </is>
      </c>
    </row>
    <row r="16">
      <c r="A16" t="inlineStr">
        <is>
          <t>WACC 11.00%</t>
        </is>
      </c>
      <c r="B16" t="n">
        <v>64961</v>
      </c>
      <c r="C16" t="n">
        <v>68091</v>
      </c>
      <c r="D16" t="n">
        <v>71744</v>
      </c>
      <c r="E16" t="n">
        <v>76060</v>
      </c>
      <c r="F16" t="n">
        <v>81240</v>
      </c>
    </row>
    <row r="17">
      <c r="A17" t="inlineStr">
        <is>
          <t>WACC 11.75%</t>
        </is>
      </c>
      <c r="B17" t="n">
        <v>59856</v>
      </c>
      <c r="C17" t="n">
        <v>62324</v>
      </c>
      <c r="D17" t="n">
        <v>65157</v>
      </c>
      <c r="E17" t="n">
        <v>68444</v>
      </c>
      <c r="F17" t="n">
        <v>72302</v>
      </c>
    </row>
    <row r="18">
      <c r="A18" t="inlineStr">
        <is>
          <t>WACC 12.50%</t>
        </is>
      </c>
      <c r="B18" t="n">
        <v>55654</v>
      </c>
      <c r="C18" t="n">
        <v>57639</v>
      </c>
      <c r="D18" t="n">
        <v>59889</v>
      </c>
      <c r="E18" t="n">
        <v>62460</v>
      </c>
      <c r="F18" t="n">
        <v>65427</v>
      </c>
    </row>
    <row r="19">
      <c r="A19" t="inlineStr">
        <is>
          <t>WACC 13.25%</t>
        </is>
      </c>
      <c r="B19" t="n">
        <v>52133</v>
      </c>
      <c r="C19" t="n">
        <v>53758</v>
      </c>
      <c r="D19" t="n">
        <v>55579</v>
      </c>
      <c r="E19" t="n">
        <v>57635</v>
      </c>
      <c r="F19" t="n">
        <v>59974</v>
      </c>
    </row>
    <row r="20">
      <c r="A20" t="inlineStr">
        <is>
          <t>WACC 14.00%</t>
        </is>
      </c>
      <c r="B20" t="n">
        <v>49142</v>
      </c>
      <c r="C20" t="n">
        <v>50489</v>
      </c>
      <c r="D20" t="n">
        <v>51987</v>
      </c>
      <c r="E20" t="n">
        <v>53661</v>
      </c>
      <c r="F20" t="n">
        <v>55543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6" customWidth="1" min="1" max="1"/>
    <col width="13" customWidth="1" min="2" max="2"/>
    <col width="13" customWidth="1" min="3" max="3"/>
    <col width="13" customWidth="1" min="4" max="4"/>
    <col width="90" customWidth="1" min="5" max="5"/>
  </cols>
  <sheetData>
    <row r="1">
      <c r="A1" s="2" t="inlineStr">
        <is>
          <t>(i) STATUTORY BORROWINGS - standalone (Rs crore)</t>
        </is>
      </c>
      <c r="B1" s="2" t="inlineStr">
        <is>
          <t>FY2024</t>
        </is>
      </c>
      <c r="C1" s="2" t="inlineStr">
        <is>
          <t>FY2025</t>
        </is>
      </c>
      <c r="D1" s="2" t="inlineStr">
        <is>
          <t>FY2026</t>
        </is>
      </c>
      <c r="E1" s="2" t="inlineStr">
        <is>
          <t>Source</t>
        </is>
      </c>
    </row>
    <row r="2">
      <c r="A2" t="inlineStr">
        <is>
          <t>Non-current borrowings</t>
        </is>
      </c>
      <c r="B2" t="n">
        <v>1131.64</v>
      </c>
      <c r="C2" t="n">
        <v>902.23</v>
      </c>
      <c r="D2" t="n">
        <v>517.88</v>
      </c>
      <c r="E2" t="inlineStr">
        <is>
          <t>balance sheet</t>
        </is>
      </c>
    </row>
    <row r="3">
      <c r="A3" t="inlineStr">
        <is>
          <t>Current borrowings (incl. current maturities)</t>
        </is>
      </c>
      <c r="B3" t="n">
        <v>1122.89</v>
      </c>
      <c r="C3" t="n">
        <v>533.21</v>
      </c>
      <c r="D3" t="n">
        <v>633.8200000000001</v>
      </c>
      <c r="E3" t="inlineStr">
        <is>
          <t>balance sheet</t>
        </is>
      </c>
    </row>
    <row r="4">
      <c r="A4" t="inlineStr">
        <is>
          <t>Lease liabilities (non-current + current)</t>
        </is>
      </c>
      <c r="B4" t="n">
        <v>44.87</v>
      </c>
      <c r="C4" t="n">
        <v>46.28</v>
      </c>
      <c r="D4" t="n">
        <v>43.34</v>
      </c>
      <c r="E4" t="inlineStr">
        <is>
          <t>balance sheet</t>
        </is>
      </c>
    </row>
    <row r="5">
      <c r="A5" t="inlineStr">
        <is>
          <t>TOTAL DEBT</t>
        </is>
      </c>
      <c r="B5" t="n">
        <v>2299.4</v>
      </c>
      <c r="C5" t="n">
        <v>1481.72</v>
      </c>
      <c r="D5" t="n">
        <v>1195.04</v>
      </c>
      <c r="E5" t="inlineStr">
        <is>
          <t>sum of the three lines; cross-checked to screener.in in the spreads' ExternalTieOut tab</t>
        </is>
      </c>
    </row>
    <row r="6"/>
    <row r="7">
      <c r="A7" s="2" t="inlineStr">
        <is>
          <t>(ii) INSTRUMENT VIEW at 31-Mar-2026 (face value, FY2026 AR repayment schedule)</t>
        </is>
      </c>
      <c r="B7" s="2" t="inlineStr"/>
      <c r="C7" s="2" t="inlineStr"/>
      <c r="D7" s="2" t="inlineStr">
        <is>
          <t>FY2026</t>
        </is>
      </c>
      <c r="E7" s="2" t="inlineStr"/>
    </row>
    <row r="8">
      <c r="A8" t="inlineStr">
        <is>
          <t>Term loans - non-current</t>
        </is>
      </c>
      <c r="B8" t="inlineStr"/>
      <c r="C8" t="inlineStr"/>
      <c r="D8" t="n">
        <v>456.38</v>
      </c>
      <c r="E8" t="inlineStr">
        <is>
          <t>borrowings note repayment schedule</t>
        </is>
      </c>
    </row>
    <row r="9">
      <c r="A9" t="inlineStr">
        <is>
          <t>Term loans - current maturities</t>
        </is>
      </c>
      <c r="B9" t="inlineStr"/>
      <c r="C9" t="inlineStr"/>
      <c r="D9" t="n">
        <v>279.25</v>
      </c>
      <c r="E9" t="inlineStr">
        <is>
          <t>borrowings note repayment schedule</t>
        </is>
      </c>
    </row>
    <row r="10">
      <c r="A10" t="inlineStr">
        <is>
          <t>NCD Series 3 7.30% AL 2027 - current</t>
        </is>
      </c>
      <c r="B10" t="inlineStr"/>
      <c r="C10" t="inlineStr"/>
      <c r="D10" t="n">
        <v>200</v>
      </c>
      <c r="E10" t="inlineStr">
        <is>
          <t>ISIN INE208A07406; bullet 17-Mar-2027; call option end of year 3; secured 1.10x on Hosur P&amp;M</t>
        </is>
      </c>
    </row>
    <row r="11">
      <c r="A11" t="inlineStr">
        <is>
          <t>Sales-tax loans (interest-free) - non-current</t>
        </is>
      </c>
      <c r="B11" t="inlineStr"/>
      <c r="C11" t="inlineStr"/>
      <c r="D11" t="n">
        <v>61.5</v>
      </c>
      <c r="E11" t="inlineStr">
        <is>
          <t>borrowings note repayment schedule</t>
        </is>
      </c>
    </row>
    <row r="12">
      <c r="A12" t="inlineStr">
        <is>
          <t>Sales-tax loans (interest-free) - current</t>
        </is>
      </c>
      <c r="B12" t="inlineStr"/>
      <c r="C12" t="inlineStr"/>
      <c r="D12" t="n">
        <v>4.91</v>
      </c>
      <c r="E12" t="inlineStr">
        <is>
          <t>borrowings note repayment schedule</t>
        </is>
      </c>
    </row>
    <row r="13">
      <c r="A13" t="inlineStr">
        <is>
          <t>Short-term loans from banks (unsecured)</t>
        </is>
      </c>
      <c r="B13" t="inlineStr"/>
      <c r="C13" t="inlineStr"/>
      <c r="D13" t="n">
        <v>150</v>
      </c>
      <c r="E13" t="inlineStr">
        <is>
          <t>note 1.21</t>
        </is>
      </c>
    </row>
    <row r="14">
      <c r="A14" t="inlineStr">
        <is>
          <t>Commercial paper outstanding</t>
        </is>
      </c>
      <c r="B14" t="inlineStr"/>
      <c r="C14" t="inlineStr"/>
      <c r="D14" t="n">
        <v>0</v>
      </c>
      <c r="E14" t="inlineStr">
        <is>
          <t>nil at the standalone level (Rs 2,000 crore rated programme)</t>
        </is>
      </c>
    </row>
    <row r="15">
      <c r="A15" t="inlineStr">
        <is>
          <t>Sum of instruments (face)</t>
        </is>
      </c>
      <c r="B15" t="inlineStr"/>
      <c r="C15" t="inlineStr"/>
      <c r="D15" t="n">
        <v>1152.04</v>
      </c>
      <c r="E15" t="inlineStr">
        <is>
          <t>vs balance-sheet borrowings 1,151.70: 0.34 effective-interest residual (engine tie-out)</t>
        </is>
      </c>
    </row>
    <row r="16">
      <c r="A16" t="inlineStr">
        <is>
          <t>Currency mix</t>
        </is>
      </c>
      <c r="B16" t="inlineStr"/>
      <c r="C16" t="inlineStr"/>
      <c r="D16" t="inlineStr"/>
      <c r="E16" t="inlineStr">
        <is>
          <t>no foreign-currency borrowing disclosed at the standalone level; acceptances: none shown separately</t>
        </is>
      </c>
    </row>
    <row r="17"/>
    <row r="18">
      <c r="A18" s="2" t="inlineStr">
        <is>
          <t>(iii) THE AR'S OWN NET-DEBT BRIDGE (standalone note, Rs crore)</t>
        </is>
      </c>
      <c r="B18" s="2" t="inlineStr">
        <is>
          <t>FY2024</t>
        </is>
      </c>
      <c r="C18" s="2" t="inlineStr">
        <is>
          <t>FY2025</t>
        </is>
      </c>
      <c r="D18" s="2" t="inlineStr">
        <is>
          <t>FY2026</t>
        </is>
      </c>
      <c r="E18" s="2" t="inlineStr"/>
    </row>
    <row r="19">
      <c r="A19" t="inlineStr">
        <is>
          <t>Cash</t>
        </is>
      </c>
      <c r="B19" t="n">
        <v>1941.87</v>
      </c>
      <c r="C19" t="n">
        <v>2659.82</v>
      </c>
      <c r="D19" t="n">
        <v>2031.09</v>
      </c>
      <c r="E19" t="inlineStr">
        <is>
          <t>AR net-debt reconciliation</t>
        </is>
      </c>
    </row>
    <row r="20">
      <c r="A20" t="inlineStr">
        <is>
          <t>Liquid investments</t>
        </is>
      </c>
      <c r="B20" t="n">
        <v>225.16</v>
      </c>
      <c r="C20" t="n">
        <v>3018.7</v>
      </c>
      <c r="D20" t="n">
        <v>4119.71</v>
      </c>
      <c r="E20" t="inlineStr">
        <is>
          <t>AR net-debt reconciliation</t>
        </is>
      </c>
    </row>
    <row r="21">
      <c r="A21" t="inlineStr">
        <is>
          <t>Current borrowings (bridge)</t>
        </is>
      </c>
      <c r="B21" t="n">
        <v>484.87</v>
      </c>
      <c r="C21" t="n">
        <v>150.87</v>
      </c>
      <c r="D21" t="n">
        <v>150.78</v>
      </c>
      <c r="E21" t="inlineStr">
        <is>
          <t>AR net-debt reconciliation</t>
        </is>
      </c>
    </row>
    <row r="22">
      <c r="A22" t="inlineStr">
        <is>
          <t>Non-current borrowings (bridge)</t>
        </is>
      </c>
      <c r="B22" t="n">
        <v>1777.16</v>
      </c>
      <c r="C22" t="n">
        <v>1289.57</v>
      </c>
      <c r="D22" t="n">
        <v>1003.93</v>
      </c>
      <c r="E22" t="inlineStr">
        <is>
          <t>AR net-debt reconciliation</t>
        </is>
      </c>
    </row>
    <row r="23">
      <c r="A23" t="inlineStr">
        <is>
          <t>Derivative asset/(liability)</t>
        </is>
      </c>
      <c r="B23" t="n">
        <v>51.99</v>
      </c>
      <c r="C23" t="n">
        <v>12.19</v>
      </c>
      <c r="D23" t="n">
        <v>-16.1</v>
      </c>
      <c r="E23" t="inlineStr">
        <is>
          <t>AR net-debt reconciliation</t>
        </is>
      </c>
    </row>
    <row r="24">
      <c r="A24" t="inlineStr">
        <is>
          <t>Lease liabilities (bridge)</t>
        </is>
      </c>
      <c r="B24" t="n">
        <v>44.87</v>
      </c>
      <c r="C24" t="n">
        <v>46.28</v>
      </c>
      <c r="D24" t="n">
        <v>43.34</v>
      </c>
      <c r="E24" t="inlineStr">
        <is>
          <t>AR net-debt reconciliation</t>
        </is>
      </c>
    </row>
    <row r="25">
      <c r="A25" t="inlineStr">
        <is>
          <t>Net surplus (printed)</t>
        </is>
      </c>
      <c r="B25" t="n">
        <v>-87.88</v>
      </c>
      <c r="C25" t="n">
        <v>4203.99</v>
      </c>
      <c r="D25" t="n">
        <v>4936.65</v>
      </c>
      <c r="E25" t="inlineStr">
        <is>
          <t>AR net-debt reconciliation</t>
        </is>
      </c>
    </row>
    <row r="26">
      <c r="A26" t="inlineStr">
        <is>
          <t>Arithmetic check: cash + liquid inv - borrowings + derivative - leases</t>
        </is>
      </c>
      <c r="B26" t="n">
        <v>-87.88</v>
      </c>
      <c r="C26" t="n">
        <v>4203.99</v>
      </c>
      <c r="D26" t="n">
        <v>4936.65</v>
      </c>
      <c r="E26" t="inlineStr">
        <is>
          <t>equals the printed net surplus in every year</t>
        </is>
      </c>
    </row>
    <row r="27">
      <c r="A27" t="inlineStr">
        <is>
          <t>Analyst net debt on free liquidity (negative = net cash)</t>
        </is>
      </c>
      <c r="B27" t="n">
        <v>132.37</v>
      </c>
      <c r="C27" t="n">
        <v>-4196.8</v>
      </c>
      <c r="D27" t="n">
        <v>-5755.76</v>
      </c>
      <c r="E27" t="inlineStr">
        <is>
          <t>basis difference: ours ADDS the free 3-12 month deposits (Rs 800 crore FY2026) and EXCLUDES the derivative; the bridge excludes all bank deposits. Chairman's 'net cash Rs 5,899 crore' adds every bank balance incl. earmarked ones.</t>
        </is>
      </c>
    </row>
    <row r="28"/>
    <row r="29">
      <c r="A29" s="2" t="inlineStr">
        <is>
          <t>(iv) RATED LIMITS vs DRAWN DEBT</t>
        </is>
      </c>
      <c r="B29" s="2" t="inlineStr"/>
      <c r="C29" s="2" t="inlineStr"/>
      <c r="D29" s="2" t="inlineStr">
        <is>
          <t>Rs crore</t>
        </is>
      </c>
      <c r="E29" s="2" t="inlineStr"/>
    </row>
    <row r="30">
      <c r="A30" t="inlineStr">
        <is>
          <t>ICRA rated programme - CRA-PUBLISHED 02-Jun-2026, NOT issuer-confirmed</t>
        </is>
      </c>
      <c r="B30" t="inlineStr"/>
      <c r="C30" t="inlineStr"/>
      <c r="D30" t="n">
        <v>7479.38</v>
      </c>
      <c r="E30" t="inlineStr">
        <is>
          <t>CP 2,000 + NCD 200 + proposed NCD 300 + LT/ST FB 2,000 + LT/ST NFB 1,500 + term loans 729.38 + LT/ST unallocated 750 (line arithmetic verified)</t>
        </is>
      </c>
    </row>
    <row r="31">
      <c r="A31" t="inlineStr">
        <is>
          <t>Drawn borrowings + leases, 31-Mar-2026</t>
        </is>
      </c>
      <c r="B31" t="inlineStr"/>
      <c r="C31" t="inlineStr"/>
      <c r="D31" t="n">
        <v>1195.04</v>
      </c>
      <c r="E31" t="inlineStr">
        <is>
          <t>limits and drawn debt are different measures and are not expected to reconcile</t>
        </is>
      </c>
    </row>
    <row r="32">
      <c r="A32" t="inlineStr">
        <is>
          <t>Drawn term loans (face) vs rated term loans 729.38</t>
        </is>
      </c>
      <c r="B32" t="inlineStr"/>
      <c r="C32" t="inlineStr"/>
      <c r="D32" t="n">
        <v>735.63</v>
      </c>
      <c r="E32" t="inlineStr">
        <is>
          <t>6.25 gap = size of an April-May 2026 instalment; to be confirmed by issuer</t>
        </is>
      </c>
    </row>
    <row r="33">
      <c r="A33" t="inlineStr">
        <is>
          <t>Undrawn bank facilities, 31-Mar-2026</t>
        </is>
      </c>
      <c r="B33" t="inlineStr"/>
      <c r="C33" t="inlineStr"/>
      <c r="D33" t="n">
        <v>2854.34</v>
      </c>
      <c r="E33" t="inlineStr">
        <is>
          <t>liquidity-risk note (secured 2,000.00 + unsecured 854.34)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2026-10-10T07:46:55Z</dcterms:created>
  <dcterms:modified xmlns:dcterms="http://purl.org/dc/terms/" xmlns:xsi="http://www.w3.org/2001/XMLSchema-instance" xsi:type="dcterms:W3CDTF">2026-10-10T07:46:56Z</dcterms:modified>
</cp:coreProperties>
</file>