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 sheetId="1" state="visible" r:id="rId1"/>
    <sheet xmlns:r="http://schemas.openxmlformats.org/officeDocument/2006/relationships" name="RatioSuite" sheetId="2" state="visible" r:id="rId2"/>
    <sheet xmlns:r="http://schemas.openxmlformats.org/officeDocument/2006/relationships" name="TieOut" sheetId="3" state="visible" r:id="rId3"/>
    <sheet xmlns:r="http://schemas.openxmlformats.org/officeDocument/2006/relationships" name="Convention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3864"/>
      </patternFill>
    </fill>
    <fill>
      <patternFill patternType="solid">
        <fgColor rgb="00D9E2F3"/>
      </patternFill>
    </fill>
    <fill>
      <patternFill patternType="solid">
        <fgColor rgb="00FCE4D6"/>
      </patternFill>
    </fill>
    <fill>
      <patternFill patternType="solid">
        <fgColor rgb="00E2EFDA"/>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pivotButton="0" quotePrefix="0" xfId="0"/>
    <xf numFmtId="0" fontId="1" fillId="2" borderId="0" applyAlignment="1" pivotButton="0" quotePrefix="0" xfId="0">
      <alignment horizontal="center"/>
    </xf>
    <xf numFmtId="0" fontId="2" fillId="3" borderId="0" pivotButton="0" quotePrefix="0" xfId="0"/>
    <xf numFmtId="0" fontId="0" fillId="3" borderId="0" pivotButton="0" quotePrefix="0" xfId="0"/>
    <xf numFmtId="4" fontId="0" fillId="0" borderId="1" pivotButton="0" quotePrefix="0" xfId="0"/>
    <xf numFmtId="0" fontId="2" fillId="0" borderId="0" pivotButton="0" quotePrefix="0" xfId="0"/>
    <xf numFmtId="4" fontId="2" fillId="0" borderId="1" pivotButton="0" quotePrefix="0" xfId="0"/>
    <xf numFmtId="4" fontId="0" fillId="4" borderId="1" pivotButton="0" quotePrefix="0" xfId="0"/>
    <xf numFmtId="2" fontId="0" fillId="0" borderId="1" pivotButton="0" quotePrefix="0" xfId="0"/>
    <xf numFmtId="4" fontId="0" fillId="0" borderId="0" pivotButton="0" quotePrefix="0" xfId="0"/>
    <xf numFmtId="0" fontId="2" fillId="5" borderId="0" pivotButton="0" quotePrefix="0" xfId="0"/>
    <xf numFmtId="0" fontId="0" fillId="5" borderId="0" pivotButton="0" quotePrefix="0" xfId="0"/>
    <xf numFmtId="0" fontId="2" fillId="6"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60" customWidth="1" min="6" max="6"/>
  </cols>
  <sheetData>
    <row r="1">
      <c r="A1" s="1" t="inlineStr">
        <is>
          <t>Jindal Stainless Limited - consolidated extraction (Rs crore)</t>
        </is>
      </c>
      <c r="B1" s="2" t="inlineStr">
        <is>
          <t>FY2023</t>
        </is>
      </c>
      <c r="C1" s="2" t="inlineStr">
        <is>
          <t>FY2024</t>
        </is>
      </c>
      <c r="D1" s="2" t="inlineStr">
        <is>
          <t>FY2025</t>
        </is>
      </c>
      <c r="E1" s="2" t="inlineStr">
        <is>
          <t>FY2026</t>
        </is>
      </c>
      <c r="F1" s="1" t="inlineStr">
        <is>
          <t>Source</t>
        </is>
      </c>
    </row>
    <row r="2">
      <c r="A2" s="3" t="inlineStr">
        <is>
          <t>PROFIT AND LOSS</t>
        </is>
      </c>
      <c r="B2" s="4" t="n"/>
      <c r="C2" s="4" t="n"/>
      <c r="D2" s="4" t="n"/>
      <c r="E2" s="4" t="n"/>
      <c r="F2" s="4" t="n"/>
    </row>
    <row r="3">
      <c r="A3" t="inlineStr">
        <is>
          <t>Revenue from ops</t>
        </is>
      </c>
      <c r="B3" s="5" t="n">
        <v>35697.03</v>
      </c>
      <c r="C3" s="5" t="n">
        <v>38562.47</v>
      </c>
      <c r="D3" s="5" t="n">
        <v>39312.21</v>
      </c>
      <c r="E3" s="5" t="n">
        <v>42954.66</v>
      </c>
      <c r="F3" t="inlineStr">
        <is>
          <t>AR consolidated statement of profit and loss; non-operating items from the cash-flow reconciliation</t>
        </is>
      </c>
    </row>
    <row r="4">
      <c r="A4" t="inlineStr">
        <is>
          <t>Other income</t>
        </is>
      </c>
      <c r="B4" s="5" t="n">
        <v>126.29</v>
      </c>
      <c r="C4" s="5" t="n">
        <v>169.12</v>
      </c>
      <c r="D4" s="5" t="n">
        <v>290.85</v>
      </c>
      <c r="E4" s="5" t="n">
        <v>351.48</v>
      </c>
      <c r="F4" t="inlineStr">
        <is>
          <t>AR consolidated statement of profit and loss; non-operating items from the cash-flow reconciliation</t>
        </is>
      </c>
    </row>
    <row r="5">
      <c r="A5" t="inlineStr">
        <is>
          <t>Finance costs</t>
        </is>
      </c>
      <c r="B5" s="5" t="n">
        <v>324.62</v>
      </c>
      <c r="C5" s="5" t="n">
        <v>554.39</v>
      </c>
      <c r="D5" s="5" t="n">
        <v>611.64</v>
      </c>
      <c r="E5" s="5" t="n">
        <v>567.9299999999999</v>
      </c>
      <c r="F5" t="inlineStr">
        <is>
          <t>AR consolidated statement of profit and loss; non-operating items from the cash-flow reconciliation</t>
        </is>
      </c>
    </row>
    <row r="6">
      <c r="A6" t="inlineStr">
        <is>
          <t>Depreciation</t>
        </is>
      </c>
      <c r="B6" s="5" t="n">
        <v>723.75</v>
      </c>
      <c r="C6" s="5" t="n">
        <v>878.83</v>
      </c>
      <c r="D6" s="5" t="n">
        <v>956.12</v>
      </c>
      <c r="E6" s="5" t="n">
        <v>1060.3</v>
      </c>
      <c r="F6" t="inlineStr">
        <is>
          <t>AR consolidated statement of profit and loss; non-operating items from the cash-flow reconciliation</t>
        </is>
      </c>
    </row>
    <row r="7">
      <c r="A7" t="inlineStr">
        <is>
          <t>PBT ex-except ex-assoc</t>
        </is>
      </c>
      <c r="B7" s="5" t="n">
        <v>2664.01</v>
      </c>
      <c r="C7" s="5" t="n">
        <v>3440.19</v>
      </c>
      <c r="D7" s="5" t="n">
        <v>3389.72</v>
      </c>
      <c r="E7" s="5" t="n">
        <v>4283.68</v>
      </c>
      <c r="F7" t="inlineStr">
        <is>
          <t>AR consolidated statement of profit and loss; non-operating items from the cash-flow reconciliation</t>
        </is>
      </c>
    </row>
    <row r="8">
      <c r="A8" t="inlineStr">
        <is>
          <t>Associate/JV share</t>
        </is>
      </c>
      <c r="B8" s="5" t="n">
        <v>109.96</v>
      </c>
      <c r="C8" s="5" t="n">
        <v>53.13</v>
      </c>
      <c r="D8" s="5" t="n">
        <v>-43.7</v>
      </c>
      <c r="E8" s="5" t="n">
        <v>16.73</v>
      </c>
      <c r="F8" t="inlineStr">
        <is>
          <t>AR consolidated statement of profit and loss; non-operating items from the cash-flow reconciliation</t>
        </is>
      </c>
    </row>
    <row r="9">
      <c r="A9" t="inlineStr">
        <is>
          <t>Exceptional items</t>
        </is>
      </c>
      <c r="B9" s="5" t="n">
        <v>0</v>
      </c>
      <c r="C9" s="5" t="n">
        <v>99.15000000000001</v>
      </c>
      <c r="D9" s="5" t="n">
        <v>-7.06</v>
      </c>
      <c r="E9" s="5" t="n">
        <v>-58.34</v>
      </c>
      <c r="F9" t="inlineStr">
        <is>
          <t>AR consolidated statement of profit and loss; non-operating items from the cash-flow reconciliation</t>
        </is>
      </c>
    </row>
    <row r="10">
      <c r="A10" t="inlineStr">
        <is>
          <t>PAT</t>
        </is>
      </c>
      <c r="B10" s="5" t="n">
        <v>2083.83</v>
      </c>
      <c r="C10" s="5" t="n">
        <v>2693.48</v>
      </c>
      <c r="D10" s="5" t="n">
        <v>2499.72</v>
      </c>
      <c r="E10" s="5" t="n">
        <v>3184.57</v>
      </c>
      <c r="F10" t="inlineStr">
        <is>
          <t>AR consolidated statement of profit and loss; non-operating items from the cash-flow reconciliation</t>
        </is>
      </c>
    </row>
    <row r="11">
      <c r="A11" t="inlineStr">
        <is>
          <t>PAT (owners)</t>
        </is>
      </c>
      <c r="B11" s="5" t="n">
        <v>2114.5</v>
      </c>
      <c r="C11" s="5" t="n">
        <v>2713.21</v>
      </c>
      <c r="D11" s="5" t="n">
        <v>2505.2</v>
      </c>
      <c r="E11" s="5" t="n">
        <v>3193.45</v>
      </c>
      <c r="F11" t="inlineStr">
        <is>
          <t>AR consolidated statement of profit and loss; non-operating items from the cash-flow reconciliation</t>
        </is>
      </c>
    </row>
    <row r="12">
      <c r="A12" t="inlineStr">
        <is>
          <t>EPS basic (Rs)</t>
        </is>
      </c>
      <c r="B12" s="5" t="n">
        <v>25.68</v>
      </c>
      <c r="C12" s="5" t="n">
        <v>32.95</v>
      </c>
      <c r="D12" s="5" t="n">
        <v>30.42</v>
      </c>
      <c r="E12" s="5" t="n">
        <v>38.76</v>
      </c>
      <c r="F12" t="inlineStr">
        <is>
          <t>AR consolidated statement of profit and loss; non-operating items from the cash-flow reconciliation</t>
        </is>
      </c>
    </row>
    <row r="13">
      <c r="A13" t="inlineStr">
        <is>
          <t>Total income</t>
        </is>
      </c>
      <c r="B13" s="5" t="n">
        <v>35823.32</v>
      </c>
      <c r="C13" s="5" t="n">
        <v>38731.59</v>
      </c>
      <c r="D13" s="5" t="n">
        <v>39603.06</v>
      </c>
      <c r="E13" s="5" t="n">
        <v>43306.14</v>
      </c>
      <c r="F13" t="inlineStr">
        <is>
          <t>AR consolidated statement of profit and loss; non-operating items from the cash-flow reconciliation</t>
        </is>
      </c>
    </row>
    <row r="14">
      <c r="A14" t="inlineStr">
        <is>
          <t>PAT (NCI)</t>
        </is>
      </c>
      <c r="B14" s="5" t="n">
        <v>-30.67</v>
      </c>
      <c r="C14" s="5" t="n">
        <v>-19.73</v>
      </c>
      <c r="D14" s="5" t="n">
        <v>-5.48</v>
      </c>
      <c r="E14" s="5" t="n">
        <v>-8.880000000000001</v>
      </c>
      <c r="F14" t="inlineStr">
        <is>
          <t>AR consolidated statement of profit and loss; non-operating items from the cash-flow reconciliation</t>
        </is>
      </c>
    </row>
    <row r="15">
      <c r="A15" t="inlineStr">
        <is>
          <t>Forex gain in Other Expenses</t>
        </is>
      </c>
      <c r="B15" s="5" t="n">
        <v>-68.48</v>
      </c>
      <c r="C15" s="5" t="n">
        <v>-190.04</v>
      </c>
      <c r="D15" s="5" t="n">
        <v>-154.37</v>
      </c>
      <c r="E15" s="5" t="n">
        <v>-78.41</v>
      </c>
      <c r="F15" t="inlineStr">
        <is>
          <t>AR consolidated statement of profit and loss; non-operating items from the cash-flow reconciliation</t>
        </is>
      </c>
    </row>
    <row r="16">
      <c r="A16" s="3" t="inlineStr">
        <is>
          <t>NON-CURRENT ASSETS</t>
        </is>
      </c>
      <c r="B16" s="4" t="n"/>
      <c r="C16" s="4" t="n"/>
      <c r="D16" s="4" t="n"/>
      <c r="E16" s="4" t="n"/>
      <c r="F16" s="4" t="n"/>
    </row>
    <row r="17">
      <c r="A17" t="inlineStr">
        <is>
          <t>Property, plant and equipment</t>
        </is>
      </c>
      <c r="B17" s="5" t="n">
        <v>8545.76</v>
      </c>
      <c r="C17" s="5" t="n">
        <v>11394.53</v>
      </c>
      <c r="D17" s="5" t="n">
        <v>12433.18</v>
      </c>
      <c r="E17" s="5" t="n">
        <v>15544.7</v>
      </c>
      <c r="F17" t="inlineStr">
        <is>
          <t>AR consolidated balance sheet</t>
        </is>
      </c>
    </row>
    <row r="18">
      <c r="A18" t="inlineStr">
        <is>
          <t>Capital work-in-progress</t>
        </is>
      </c>
      <c r="B18" s="5" t="n">
        <v>760.9</v>
      </c>
      <c r="C18" s="5" t="n">
        <v>1084.63</v>
      </c>
      <c r="D18" s="5" t="n">
        <v>1770.27</v>
      </c>
      <c r="E18" s="5" t="n">
        <v>1790.21</v>
      </c>
      <c r="F18" t="inlineStr">
        <is>
          <t>AR consolidated balance sheet</t>
        </is>
      </c>
    </row>
    <row r="19">
      <c r="A19" t="inlineStr">
        <is>
          <t>Investment property</t>
        </is>
      </c>
      <c r="B19" s="5" t="n">
        <v>0</v>
      </c>
      <c r="C19" s="5" t="n">
        <v>10.05</v>
      </c>
      <c r="D19" s="5" t="n">
        <v>10.13</v>
      </c>
      <c r="E19" s="5" t="n">
        <v>11.05</v>
      </c>
      <c r="F19" t="inlineStr">
        <is>
          <t>AR consolidated balance sheet</t>
        </is>
      </c>
    </row>
    <row r="20">
      <c r="A20" t="inlineStr">
        <is>
          <t>Right-of-use assets</t>
        </is>
      </c>
      <c r="B20" s="5" t="n">
        <v>469.55</v>
      </c>
      <c r="C20" s="5" t="n">
        <v>651.88</v>
      </c>
      <c r="D20" s="5" t="n">
        <v>662.88</v>
      </c>
      <c r="E20" s="5" t="n">
        <v>695.66</v>
      </c>
      <c r="F20" t="inlineStr">
        <is>
          <t>AR consolidated balance sheet</t>
        </is>
      </c>
    </row>
    <row r="21">
      <c r="A21" t="inlineStr">
        <is>
          <t>Goodwill</t>
        </is>
      </c>
      <c r="B21" s="5" t="n">
        <v>163.39</v>
      </c>
      <c r="C21" s="5" t="n">
        <v>332.38</v>
      </c>
      <c r="D21" s="5" t="n">
        <v>899.24</v>
      </c>
      <c r="E21" s="5" t="n">
        <v>1247.38</v>
      </c>
      <c r="F21" t="inlineStr">
        <is>
          <t>AR consolidated balance sheet</t>
        </is>
      </c>
    </row>
    <row r="22">
      <c r="A22" t="inlineStr">
        <is>
          <t>Other intangible assets</t>
        </is>
      </c>
      <c r="B22" s="5" t="n">
        <v>782.38</v>
      </c>
      <c r="C22" s="5" t="n">
        <v>865.59</v>
      </c>
      <c r="D22" s="5" t="n">
        <v>794.79</v>
      </c>
      <c r="E22" s="5" t="n">
        <v>718.02</v>
      </c>
      <c r="F22" t="inlineStr">
        <is>
          <t>AR consolidated balance sheet</t>
        </is>
      </c>
    </row>
    <row r="23">
      <c r="A23" t="inlineStr">
        <is>
          <t>Intangible assets under dev</t>
        </is>
      </c>
      <c r="B23" s="5" t="n">
        <v>12.1</v>
      </c>
      <c r="C23" s="5" t="n">
        <v>27.4</v>
      </c>
      <c r="D23" s="5" t="n">
        <v>12.77</v>
      </c>
      <c r="E23" s="5" t="n">
        <v>15.94</v>
      </c>
      <c r="F23" t="inlineStr">
        <is>
          <t>AR consolidated balance sheet</t>
        </is>
      </c>
    </row>
    <row r="24">
      <c r="A24" t="inlineStr">
        <is>
          <t>Equity-method investments</t>
        </is>
      </c>
      <c r="B24" s="5" t="n">
        <v>557.09</v>
      </c>
      <c r="C24" s="5" t="n">
        <v>864.66</v>
      </c>
      <c r="D24" s="5" t="n">
        <v>1313.18</v>
      </c>
      <c r="E24" s="5" t="n">
        <v>1179.96</v>
      </c>
      <c r="F24" t="inlineStr">
        <is>
          <t>AR consolidated balance sheet</t>
        </is>
      </c>
    </row>
    <row r="25">
      <c r="A25" t="inlineStr">
        <is>
          <t>Investments (non-current)</t>
        </is>
      </c>
      <c r="B25" s="5" t="n">
        <v>112.31</v>
      </c>
      <c r="C25" s="5" t="n">
        <v>37.55</v>
      </c>
      <c r="D25" s="5" t="n">
        <v>328.47</v>
      </c>
      <c r="E25" s="5" t="n">
        <v>366.1</v>
      </c>
      <c r="F25" t="inlineStr">
        <is>
          <t>AR consolidated balance sheet</t>
        </is>
      </c>
    </row>
    <row r="26">
      <c r="A26" t="inlineStr">
        <is>
          <t>Loans (non-current)</t>
        </is>
      </c>
      <c r="B26" s="5" t="n">
        <v>67</v>
      </c>
      <c r="C26" s="5" t="n">
        <v>245.2</v>
      </c>
      <c r="D26" s="5" t="n">
        <v>240.39</v>
      </c>
      <c r="E26" s="5" t="n">
        <v>195.16</v>
      </c>
      <c r="F26" t="inlineStr">
        <is>
          <t>AR consolidated balance sheet</t>
        </is>
      </c>
    </row>
    <row r="27">
      <c r="A27" t="inlineStr">
        <is>
          <t>Other financial assets (NC)</t>
        </is>
      </c>
      <c r="B27" s="5" t="n">
        <v>288.97</v>
      </c>
      <c r="C27" s="5" t="n">
        <v>152.47</v>
      </c>
      <c r="D27" s="5" t="n">
        <v>209.38</v>
      </c>
      <c r="E27" s="5" t="n">
        <v>468.37</v>
      </c>
      <c r="F27" t="inlineStr">
        <is>
          <t>AR consolidated balance sheet</t>
        </is>
      </c>
    </row>
    <row r="28">
      <c r="A28" t="inlineStr">
        <is>
          <t>Deferred tax assets (net)</t>
        </is>
      </c>
      <c r="B28" s="5" t="n">
        <v>0</v>
      </c>
      <c r="C28" s="5" t="n">
        <v>52.4</v>
      </c>
      <c r="D28" s="5" t="n">
        <v>241.03</v>
      </c>
      <c r="E28" s="5" t="n">
        <v>262.77</v>
      </c>
      <c r="F28" t="inlineStr">
        <is>
          <t>AR consolidated balance sheet</t>
        </is>
      </c>
    </row>
    <row r="29">
      <c r="A29" t="inlineStr">
        <is>
          <t>Income tax assets (NC)</t>
        </is>
      </c>
      <c r="B29" s="5" t="n">
        <v>0</v>
      </c>
      <c r="C29" s="5" t="n">
        <v>1.48</v>
      </c>
      <c r="D29" s="5" t="n">
        <v>3.74</v>
      </c>
      <c r="E29" s="5" t="n">
        <v>1.52</v>
      </c>
      <c r="F29" t="inlineStr">
        <is>
          <t>AR consolidated balance sheet</t>
        </is>
      </c>
    </row>
    <row r="30">
      <c r="A30" t="inlineStr">
        <is>
          <t>Other non-current assets</t>
        </is>
      </c>
      <c r="B30" s="5" t="n">
        <v>244.3</v>
      </c>
      <c r="C30" s="5" t="n">
        <v>314.42</v>
      </c>
      <c r="D30" s="5" t="n">
        <v>440.29</v>
      </c>
      <c r="E30" s="5" t="n">
        <v>706.28</v>
      </c>
      <c r="F30" t="inlineStr">
        <is>
          <t>AR consolidated balance sheet</t>
        </is>
      </c>
    </row>
    <row r="31">
      <c r="A31" s="6" t="inlineStr">
        <is>
          <t>Total non-current assets</t>
        </is>
      </c>
      <c r="B31" s="7">
        <f>B17+B18+B19+B20+B21+B22+B23+B24+B25+B26+B27+B28+B29+B30</f>
        <v/>
      </c>
      <c r="C31" s="7">
        <f>C17+C18+C19+C20+C21+C22+C23+C24+C25+C26+C27+C28+C29+C30</f>
        <v/>
      </c>
      <c r="D31" s="7">
        <f>D17+D18+D19+D20+D21+D22+D23+D24+D25+D26+D27+D28+D29+D30</f>
        <v/>
      </c>
      <c r="E31" s="7">
        <f>E17+E18+E19+E20+E21+E22+E23+E24+E25+E26+E27+E28+E29+E30</f>
        <v/>
      </c>
      <c r="F31" t="inlineStr">
        <is>
          <t>live SUM over the component rows above</t>
        </is>
      </c>
    </row>
    <row r="32">
      <c r="A32" s="3" t="inlineStr">
        <is>
          <t>CURRENT ASSETS</t>
        </is>
      </c>
      <c r="B32" s="4" t="n"/>
      <c r="C32" s="4" t="n"/>
      <c r="D32" s="4" t="n"/>
      <c r="E32" s="4" t="n"/>
      <c r="F32" s="4" t="n"/>
    </row>
    <row r="33">
      <c r="A33" t="inlineStr">
        <is>
          <t>Inventories</t>
        </is>
      </c>
      <c r="B33" s="5" t="n">
        <v>8393.92</v>
      </c>
      <c r="C33" s="5" t="n">
        <v>7931.5</v>
      </c>
      <c r="D33" s="5" t="n">
        <v>9700.280000000001</v>
      </c>
      <c r="E33" s="5" t="n">
        <v>9507.52</v>
      </c>
      <c r="F33" t="inlineStr">
        <is>
          <t>AR consolidated balance sheet</t>
        </is>
      </c>
    </row>
    <row r="34">
      <c r="A34" t="inlineStr">
        <is>
          <t>Investments (current)</t>
        </is>
      </c>
      <c r="B34" s="5" t="n">
        <v>300.7</v>
      </c>
      <c r="C34" s="5" t="n">
        <v>344.25</v>
      </c>
      <c r="D34" s="5" t="n">
        <v>4.5</v>
      </c>
      <c r="E34" s="5" t="n">
        <v>1.12</v>
      </c>
      <c r="F34" t="inlineStr">
        <is>
          <t>AR consolidated balance sheet</t>
        </is>
      </c>
    </row>
    <row r="35">
      <c r="A35" t="inlineStr">
        <is>
          <t>Trade receivables</t>
        </is>
      </c>
      <c r="B35" s="5" t="n">
        <v>3657.82</v>
      </c>
      <c r="C35" s="5" t="n">
        <v>2836.85</v>
      </c>
      <c r="D35" s="5" t="n">
        <v>3107.01</v>
      </c>
      <c r="E35" s="5" t="n">
        <v>3085.62</v>
      </c>
      <c r="F35" t="inlineStr">
        <is>
          <t>AR consolidated balance sheet</t>
        </is>
      </c>
    </row>
    <row r="36">
      <c r="A36" t="inlineStr">
        <is>
          <t>Cash and cash equivalents</t>
        </is>
      </c>
      <c r="B36" s="5" t="n">
        <v>469.91</v>
      </c>
      <c r="C36" s="5" t="n">
        <v>1229.7</v>
      </c>
      <c r="D36" s="5" t="n">
        <v>632.54</v>
      </c>
      <c r="E36" s="5" t="n">
        <v>415.12</v>
      </c>
      <c r="F36" t="inlineStr">
        <is>
          <t>AR consolidated balance sheet</t>
        </is>
      </c>
    </row>
    <row r="37">
      <c r="A37" t="inlineStr">
        <is>
          <t>Other bank balances</t>
        </is>
      </c>
      <c r="B37" s="5" t="n">
        <v>460.9</v>
      </c>
      <c r="C37" s="5" t="n">
        <v>758.41</v>
      </c>
      <c r="D37" s="5" t="n">
        <v>1637.33</v>
      </c>
      <c r="E37" s="5" t="n">
        <v>2518.91</v>
      </c>
      <c r="F37" t="inlineStr">
        <is>
          <t>AR consolidated balance sheet</t>
        </is>
      </c>
    </row>
    <row r="38">
      <c r="A38" t="inlineStr">
        <is>
          <t>Loans (current)</t>
        </is>
      </c>
      <c r="B38" s="5" t="n">
        <v>0</v>
      </c>
      <c r="C38" s="5" t="n">
        <v>6.09</v>
      </c>
      <c r="D38" s="5" t="n">
        <v>456.5</v>
      </c>
      <c r="E38" s="5" t="n">
        <v>461.88</v>
      </c>
      <c r="F38" t="inlineStr">
        <is>
          <t>AR consolidated balance sheet</t>
        </is>
      </c>
    </row>
    <row r="39">
      <c r="A39" t="inlineStr">
        <is>
          <t>Other financial assets (C)</t>
        </is>
      </c>
      <c r="B39" s="5" t="n">
        <v>487.84</v>
      </c>
      <c r="C39" s="5" t="n">
        <v>306.24</v>
      </c>
      <c r="D39" s="5" t="n">
        <v>270.58</v>
      </c>
      <c r="E39" s="5" t="n">
        <v>451.61</v>
      </c>
      <c r="F39" t="inlineStr">
        <is>
          <t>AR consolidated balance sheet</t>
        </is>
      </c>
    </row>
    <row r="40">
      <c r="A40" t="inlineStr">
        <is>
          <t>Income tax assets (C)</t>
        </is>
      </c>
      <c r="B40" s="5" t="n">
        <v>224.8</v>
      </c>
      <c r="C40" s="5" t="n">
        <v>200.11</v>
      </c>
      <c r="D40" s="5" t="n">
        <v>23.66</v>
      </c>
      <c r="E40" s="5" t="n">
        <v>16.12</v>
      </c>
      <c r="F40" t="inlineStr">
        <is>
          <t>AR consolidated balance sheet</t>
        </is>
      </c>
    </row>
    <row r="41">
      <c r="A41" t="inlineStr">
        <is>
          <t>Other current assets</t>
        </is>
      </c>
      <c r="B41" s="5" t="n">
        <v>1115.84</v>
      </c>
      <c r="C41" s="5" t="n">
        <v>780.54</v>
      </c>
      <c r="D41" s="5" t="n">
        <v>773.46</v>
      </c>
      <c r="E41" s="5" t="n">
        <v>854.61</v>
      </c>
      <c r="F41" t="inlineStr">
        <is>
          <t>AR consolidated balance sheet</t>
        </is>
      </c>
    </row>
    <row r="42">
      <c r="A42" t="inlineStr">
        <is>
          <t>Assets held for sale</t>
        </is>
      </c>
      <c r="B42" s="5" t="n">
        <v>0</v>
      </c>
      <c r="C42" s="5" t="n">
        <v>388.92</v>
      </c>
      <c r="D42" s="5" t="n">
        <v>192.45</v>
      </c>
      <c r="E42" s="5" t="n">
        <v>187.99</v>
      </c>
      <c r="F42" t="inlineStr">
        <is>
          <t>AR consolidated balance sheet</t>
        </is>
      </c>
    </row>
    <row r="43">
      <c r="A43" s="6" t="inlineStr">
        <is>
          <t>Total current assets</t>
        </is>
      </c>
      <c r="B43" s="7">
        <f>B33+B34+B35+B36+B37+B38+B39+B40+B41+B42</f>
        <v/>
      </c>
      <c r="C43" s="7">
        <f>C33+C34+C35+C36+C37+C38+C39+C40+C41+C42</f>
        <v/>
      </c>
      <c r="D43" s="7">
        <f>D33+D34+D35+D36+D37+D38+D39+D40+D41+D42</f>
        <v/>
      </c>
      <c r="E43" s="7">
        <f>E33+E34+E35+E36+E37+E38+E39+E40+E41+E42</f>
        <v/>
      </c>
      <c r="F43" t="inlineStr">
        <is>
          <t>live SUM over the component rows above</t>
        </is>
      </c>
    </row>
    <row r="44">
      <c r="A44" s="6" t="inlineStr">
        <is>
          <t>TOTAL ASSETS</t>
        </is>
      </c>
      <c r="B44" s="7">
        <f>B31+B43</f>
        <v/>
      </c>
      <c r="C44" s="7">
        <f>C31+C43</f>
        <v/>
      </c>
      <c r="D44" s="7">
        <f>D31+D43</f>
        <v/>
      </c>
      <c r="E44" s="7">
        <f>E31+E43</f>
        <v/>
      </c>
      <c r="F44" t="inlineStr">
        <is>
          <t>live SUM: non-current + current</t>
        </is>
      </c>
    </row>
    <row r="45">
      <c r="A45" s="3" t="inlineStr">
        <is>
          <t>EQUITY</t>
        </is>
      </c>
      <c r="B45" s="4" t="n"/>
      <c r="C45" s="4" t="n"/>
      <c r="D45" s="4" t="n"/>
      <c r="E45" s="4" t="n"/>
      <c r="F45" s="4" t="n"/>
    </row>
    <row r="46">
      <c r="A46" t="inlineStr">
        <is>
          <t>Equity share capital</t>
        </is>
      </c>
      <c r="B46" s="5" t="n">
        <v>164.69</v>
      </c>
      <c r="C46" s="5" t="n">
        <v>164.69</v>
      </c>
      <c r="D46" s="5" t="n">
        <v>164.73</v>
      </c>
      <c r="E46" s="5" t="n">
        <v>164.79</v>
      </c>
      <c r="F46" t="inlineStr">
        <is>
          <t>AR consolidated balance sheet</t>
        </is>
      </c>
    </row>
    <row r="47">
      <c r="A47" t="inlineStr">
        <is>
          <t>Other equity</t>
        </is>
      </c>
      <c r="B47" s="5" t="n">
        <v>11766.49</v>
      </c>
      <c r="C47" s="5" t="n">
        <v>14193.21</v>
      </c>
      <c r="D47" s="5" t="n">
        <v>16523.21</v>
      </c>
      <c r="E47" s="5" t="n">
        <v>19626.49</v>
      </c>
      <c r="F47" t="inlineStr">
        <is>
          <t>AR consolidated balance sheet</t>
        </is>
      </c>
    </row>
    <row r="48">
      <c r="A48" t="inlineStr">
        <is>
          <t>Non-controlling interest</t>
        </is>
      </c>
      <c r="B48" s="5" t="n">
        <v>36.39</v>
      </c>
      <c r="C48" s="5" t="n">
        <v>16.63</v>
      </c>
      <c r="D48" s="5" t="n">
        <v>20.27</v>
      </c>
      <c r="E48" s="5" t="n">
        <v>90.89</v>
      </c>
      <c r="F48" t="inlineStr">
        <is>
          <t>AR consolidated balance sheet</t>
        </is>
      </c>
    </row>
    <row r="49">
      <c r="A49" s="6" t="inlineStr">
        <is>
          <t>Total equity</t>
        </is>
      </c>
      <c r="B49" s="7">
        <f>B46+B47+B48</f>
        <v/>
      </c>
      <c r="C49" s="7">
        <f>C46+C47+C48</f>
        <v/>
      </c>
      <c r="D49" s="7">
        <f>D46+D47+D48</f>
        <v/>
      </c>
      <c r="E49" s="7">
        <f>E46+E47+E48</f>
        <v/>
      </c>
      <c r="F49" t="inlineStr">
        <is>
          <t>live SUM of components; INCLUDES non-controlling interest</t>
        </is>
      </c>
    </row>
    <row r="50">
      <c r="A50" s="3" t="inlineStr">
        <is>
          <t>NON-CURRENT LIABILITIES</t>
        </is>
      </c>
      <c r="B50" s="4" t="n"/>
      <c r="C50" s="4" t="n"/>
      <c r="D50" s="4" t="n"/>
      <c r="E50" s="4" t="n"/>
      <c r="F50" s="4" t="n"/>
    </row>
    <row r="51">
      <c r="A51" t="inlineStr">
        <is>
          <t>Borrowings (non-current)</t>
        </is>
      </c>
      <c r="B51" s="5" t="n">
        <v>2791.79</v>
      </c>
      <c r="C51" s="5" t="n">
        <v>4562.76</v>
      </c>
      <c r="D51" s="5" t="n">
        <v>4319.72</v>
      </c>
      <c r="E51" s="5" t="n">
        <v>4935.93</v>
      </c>
      <c r="F51" t="inlineStr">
        <is>
          <t>AR consolidated balance sheet</t>
        </is>
      </c>
    </row>
    <row r="52">
      <c r="A52" t="inlineStr">
        <is>
          <t>Lease liabilities (NC)</t>
        </is>
      </c>
      <c r="B52" s="5" t="n">
        <v>70.01000000000001</v>
      </c>
      <c r="C52" s="5" t="n">
        <v>89.48</v>
      </c>
      <c r="D52" s="5" t="n">
        <v>92.77</v>
      </c>
      <c r="E52" s="5" t="n">
        <v>93.77</v>
      </c>
      <c r="F52" t="inlineStr">
        <is>
          <t>AR consolidated balance sheet</t>
        </is>
      </c>
    </row>
    <row r="53">
      <c r="A53" t="inlineStr">
        <is>
          <t>Other financial liab (NC)</t>
        </is>
      </c>
      <c r="B53" s="5" t="n">
        <v>23.15</v>
      </c>
      <c r="C53" s="5" t="n">
        <v>22.38</v>
      </c>
      <c r="D53" s="5" t="n">
        <v>23.02</v>
      </c>
      <c r="E53" s="5" t="n">
        <v>2.36</v>
      </c>
      <c r="F53" t="inlineStr">
        <is>
          <t>AR consolidated balance sheet</t>
        </is>
      </c>
    </row>
    <row r="54">
      <c r="A54" t="inlineStr">
        <is>
          <t>Provisions (NC)</t>
        </is>
      </c>
      <c r="B54" s="5" t="n">
        <v>42.94</v>
      </c>
      <c r="C54" s="5" t="n">
        <v>53.25</v>
      </c>
      <c r="D54" s="5" t="n">
        <v>70.64</v>
      </c>
      <c r="E54" s="5" t="n">
        <v>114.33</v>
      </c>
      <c r="F54" t="inlineStr">
        <is>
          <t>AR consolidated balance sheet</t>
        </is>
      </c>
    </row>
    <row r="55">
      <c r="A55" t="inlineStr">
        <is>
          <t>Deferred tax liabilities (net)</t>
        </is>
      </c>
      <c r="B55" s="5" t="n">
        <v>860.62</v>
      </c>
      <c r="C55" s="5" t="n">
        <v>1241.48</v>
      </c>
      <c r="D55" s="5" t="n">
        <v>1300.33</v>
      </c>
      <c r="E55" s="5" t="n">
        <v>1355.71</v>
      </c>
      <c r="F55" t="inlineStr">
        <is>
          <t>AR consolidated balance sheet</t>
        </is>
      </c>
    </row>
    <row r="56">
      <c r="A56" t="inlineStr">
        <is>
          <t>Other non-current liabilities</t>
        </is>
      </c>
      <c r="B56" s="5" t="n">
        <v>433.62</v>
      </c>
      <c r="C56" s="5" t="n">
        <v>429.45</v>
      </c>
      <c r="D56" s="5" t="n">
        <v>400.55</v>
      </c>
      <c r="E56" s="5" t="n">
        <v>331.71</v>
      </c>
      <c r="F56" t="inlineStr">
        <is>
          <t>AR consolidated balance sheet</t>
        </is>
      </c>
    </row>
    <row r="57">
      <c r="A57" s="6" t="inlineStr">
        <is>
          <t>Total non-current liabilities</t>
        </is>
      </c>
      <c r="B57" s="7">
        <f>B51+B52+B53+B54+B55+B56</f>
        <v/>
      </c>
      <c r="C57" s="7">
        <f>C51+C52+C53+C54+C55+C56</f>
        <v/>
      </c>
      <c r="D57" s="7">
        <f>D51+D52+D53+D54+D55+D56</f>
        <v/>
      </c>
      <c r="E57" s="7">
        <f>E51+E52+E53+E54+E55+E56</f>
        <v/>
      </c>
      <c r="F57" t="inlineStr">
        <is>
          <t>live SUM over the component rows above</t>
        </is>
      </c>
    </row>
    <row r="58">
      <c r="A58" s="3" t="inlineStr">
        <is>
          <t>CURRENT LIABILITIES</t>
        </is>
      </c>
      <c r="B58" s="4" t="n"/>
      <c r="C58" s="4" t="n"/>
      <c r="D58" s="4" t="n"/>
      <c r="E58" s="4" t="n"/>
      <c r="F58" s="4" t="n"/>
    </row>
    <row r="59">
      <c r="A59" t="inlineStr">
        <is>
          <t>Borrowings (current)</t>
        </is>
      </c>
      <c r="B59" s="5" t="n">
        <v>1079.64</v>
      </c>
      <c r="C59" s="5" t="n">
        <v>1385.43</v>
      </c>
      <c r="D59" s="5" t="n">
        <v>1978.01</v>
      </c>
      <c r="E59" s="5" t="n">
        <v>2405.66</v>
      </c>
      <c r="F59" t="inlineStr">
        <is>
          <t>AR consolidated balance sheet</t>
        </is>
      </c>
    </row>
    <row r="60">
      <c r="A60" t="inlineStr">
        <is>
          <t>Lease liabilities (C)</t>
        </is>
      </c>
      <c r="B60" s="5" t="n">
        <v>16.73</v>
      </c>
      <c r="C60" s="5" t="n">
        <v>14.59</v>
      </c>
      <c r="D60" s="5" t="n">
        <v>11.37</v>
      </c>
      <c r="E60" s="5" t="n">
        <v>24.97</v>
      </c>
      <c r="F60" t="inlineStr">
        <is>
          <t>AR consolidated balance sheet</t>
        </is>
      </c>
    </row>
    <row r="61">
      <c r="A61" t="inlineStr">
        <is>
          <t>Trade payables - MSME</t>
        </is>
      </c>
      <c r="B61" s="5" t="n">
        <v>123.89</v>
      </c>
      <c r="C61" s="5" t="n">
        <v>102.03</v>
      </c>
      <c r="D61" s="5" t="n">
        <v>205.47</v>
      </c>
      <c r="E61" s="5" t="n">
        <v>179.08</v>
      </c>
      <c r="F61" t="inlineStr">
        <is>
          <t>AR consolidated balance sheet</t>
        </is>
      </c>
    </row>
    <row r="62">
      <c r="A62" t="inlineStr">
        <is>
          <t>Trade payables - others</t>
        </is>
      </c>
      <c r="B62" s="5" t="n">
        <v>7697.1</v>
      </c>
      <c r="C62" s="5" t="n">
        <v>6823.69</v>
      </c>
      <c r="D62" s="5" t="n">
        <v>8934.41</v>
      </c>
      <c r="E62" s="5" t="n">
        <v>8086.79</v>
      </c>
      <c r="F62" t="inlineStr">
        <is>
          <t>AR consolidated balance sheet</t>
        </is>
      </c>
    </row>
    <row r="63">
      <c r="A63" t="inlineStr">
        <is>
          <t>Other financial liab (C)</t>
        </is>
      </c>
      <c r="B63" s="5" t="n">
        <v>1753.67</v>
      </c>
      <c r="C63" s="5" t="n">
        <v>1490.15</v>
      </c>
      <c r="D63" s="5" t="n">
        <v>1712.39</v>
      </c>
      <c r="E63" s="5" t="n">
        <v>2855.21</v>
      </c>
      <c r="F63" t="inlineStr">
        <is>
          <t>AR consolidated balance sheet</t>
        </is>
      </c>
    </row>
    <row r="64">
      <c r="A64" t="inlineStr">
        <is>
          <t>Other current liabilities</t>
        </is>
      </c>
      <c r="B64" s="5" t="n">
        <v>252.46</v>
      </c>
      <c r="C64" s="5" t="n">
        <v>216.81</v>
      </c>
      <c r="D64" s="5" t="n">
        <v>326.35</v>
      </c>
      <c r="E64" s="5" t="n">
        <v>336.55</v>
      </c>
      <c r="F64" t="inlineStr">
        <is>
          <t>AR consolidated balance sheet</t>
        </is>
      </c>
    </row>
    <row r="65">
      <c r="A65" t="inlineStr">
        <is>
          <t>Provisions (C)</t>
        </is>
      </c>
      <c r="B65" s="5" t="n">
        <v>2.29</v>
      </c>
      <c r="C65" s="5" t="n">
        <v>6.2</v>
      </c>
      <c r="D65" s="5" t="n">
        <v>6.65</v>
      </c>
      <c r="E65" s="5" t="n">
        <v>6.07</v>
      </c>
      <c r="F65" t="inlineStr">
        <is>
          <t>AR consolidated balance sheet</t>
        </is>
      </c>
    </row>
    <row r="66">
      <c r="A66" t="inlineStr">
        <is>
          <t>Current tax liabilities (net)</t>
        </is>
      </c>
      <c r="B66" s="5" t="n">
        <v>0</v>
      </c>
      <c r="C66" s="5" t="n">
        <v>1.1</v>
      </c>
      <c r="D66" s="5" t="n">
        <v>50.4</v>
      </c>
      <c r="E66" s="5" t="n">
        <v>29.42</v>
      </c>
      <c r="F66" t="inlineStr">
        <is>
          <t>AR consolidated balance sheet</t>
        </is>
      </c>
    </row>
    <row r="67">
      <c r="A67" t="inlineStr">
        <is>
          <t>Liab. assoc. w/ assets HFS</t>
        </is>
      </c>
      <c r="B67" s="5" t="n">
        <v>0</v>
      </c>
      <c r="C67" s="5" t="n">
        <v>3.92</v>
      </c>
      <c r="D67" s="5" t="n">
        <v>17.76</v>
      </c>
      <c r="E67" s="5" t="n">
        <v>63.89</v>
      </c>
      <c r="F67" t="inlineStr">
        <is>
          <t>AR consolidated balance sheet</t>
        </is>
      </c>
    </row>
    <row r="68">
      <c r="A68" s="6" t="inlineStr">
        <is>
          <t>Total current liabilities</t>
        </is>
      </c>
      <c r="B68" s="7">
        <f>B59+B60+B61+B62+B63+B64+B65+B66+B67</f>
        <v/>
      </c>
      <c r="C68" s="7">
        <f>C59+C60+C61+C62+C63+C64+C65+C66+C67</f>
        <v/>
      </c>
      <c r="D68" s="7">
        <f>D59+D60+D61+D62+D63+D64+D65+D66+D67</f>
        <v/>
      </c>
      <c r="E68" s="7">
        <f>E59+E60+E61+E62+E63+E64+E65+E66+E67</f>
        <v/>
      </c>
      <c r="F68" t="inlineStr">
        <is>
          <t>live SUM over the component rows above</t>
        </is>
      </c>
    </row>
    <row r="69">
      <c r="A69" s="6" t="inlineStr">
        <is>
          <t>TOTAL EQUITY AND LIABILITIES</t>
        </is>
      </c>
      <c r="B69" s="7">
        <f>B49+B57+B68</f>
        <v/>
      </c>
      <c r="C69" s="7">
        <f>C49+C57+C68</f>
        <v/>
      </c>
      <c r="D69" s="7">
        <f>D49+D57+D68</f>
        <v/>
      </c>
      <c r="E69" s="7">
        <f>E49+E57+E68</f>
        <v/>
      </c>
      <c r="F69" t="inlineStr">
        <is>
          <t>live SUM: equity + all liabilities</t>
        </is>
      </c>
    </row>
    <row r="71">
      <c r="A71" s="6" t="inlineStr">
        <is>
          <t>AR's OWN printed total assets (independent check)</t>
        </is>
      </c>
      <c r="B71" s="8" t="n">
        <v>27115.48</v>
      </c>
      <c r="C71" s="8" t="n">
        <v>30817.25</v>
      </c>
      <c r="D71" s="8" t="n">
        <v>36158.05</v>
      </c>
      <c r="E71" s="8" t="n">
        <v>40703.62</v>
      </c>
      <c r="F71" t="inlineStr">
        <is>
          <t>Typed from the AR's Total row - the one figure in this sheet that is NOT derived, which is what makes it a real 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60" customWidth="1" min="6" max="6"/>
  </cols>
  <sheetData>
    <row r="1">
      <c r="A1" s="1" t="inlineStr">
        <is>
          <t>CareEdge convention ratio suite - every cell a live formula</t>
        </is>
      </c>
      <c r="B1" s="2" t="inlineStr">
        <is>
          <t>FY2023</t>
        </is>
      </c>
      <c r="C1" s="2" t="inlineStr">
        <is>
          <t>FY2024</t>
        </is>
      </c>
      <c r="D1" s="2" t="inlineStr">
        <is>
          <t>FY2025</t>
        </is>
      </c>
      <c r="E1" s="2" t="inlineStr">
        <is>
          <t>FY2026</t>
        </is>
      </c>
      <c r="F1" s="1" t="inlineStr">
        <is>
          <t>Source</t>
        </is>
      </c>
    </row>
    <row r="2">
      <c r="A2" t="inlineStr">
        <is>
          <t>Total operating income</t>
        </is>
      </c>
      <c r="B2" s="5">
        <f>Extraction!B3</f>
        <v/>
      </c>
      <c r="C2" s="5">
        <f>Extraction!C3</f>
        <v/>
      </c>
      <c r="D2" s="5">
        <f>Extraction!D3</f>
        <v/>
      </c>
      <c r="E2" s="5">
        <f>Extraction!E3</f>
        <v/>
      </c>
      <c r="F2" t="inlineStr">
        <is>
          <t>Revenue from operations</t>
        </is>
      </c>
    </row>
    <row r="3">
      <c r="A3" t="inlineStr">
        <is>
          <t>PBILDT base (= AR's own EBITDA definition)</t>
        </is>
      </c>
      <c r="B3" s="5">
        <f>(Extraction!B7+Extraction!B5+Extraction!B6-Extraction!B4)</f>
        <v/>
      </c>
      <c r="C3" s="5">
        <f>(Extraction!C7+Extraction!C5+Extraction!C6-Extraction!C4)</f>
        <v/>
      </c>
      <c r="D3" s="5">
        <f>(Extraction!D7+Extraction!D5+Extraction!D6-Extraction!D4)</f>
        <v/>
      </c>
      <c r="E3" s="5">
        <f>(Extraction!E7+Extraction!E5+Extraction!E6-Extraction!E4)</f>
        <v/>
      </c>
      <c r="F3" t="inlineStr">
        <is>
          <t>PBT before exceptional/associate + finance cost + depreciation - other income</t>
        </is>
      </c>
    </row>
    <row r="4">
      <c r="A4" t="inlineStr">
        <is>
          <t xml:space="preserve">  add back: non-op items per CareEdge</t>
        </is>
      </c>
      <c r="B4" s="5">
        <f>0</f>
        <v/>
      </c>
      <c r="C4" s="5">
        <f>0</f>
        <v/>
      </c>
      <c r="D4" s="5">
        <f>0</f>
        <v/>
      </c>
      <c r="E4" s="5">
        <f>0</f>
        <v/>
      </c>
      <c r="F4" t="inlineStr">
        <is>
          <t>ZERO on this issuer: the forex result is a net GAIN inside Other Expenses in all four years (note 34 / note 33), so it is already in the base and CareEdge's rule that non-debt forex is operating is satisfied without any adjustment</t>
        </is>
      </c>
    </row>
    <row r="5">
      <c r="A5" t="inlineStr">
        <is>
          <t>PBILDT</t>
        </is>
      </c>
      <c r="B5" s="5">
        <f>((Extraction!B7+Extraction!B5+Extraction!B6-Extraction!B4)+0)</f>
        <v/>
      </c>
      <c r="C5" s="5">
        <f>((Extraction!C7+Extraction!C5+Extraction!C6-Extraction!C4)+0)</f>
        <v/>
      </c>
      <c r="D5" s="5">
        <f>((Extraction!D7+Extraction!D5+Extraction!D6-Extraction!D4)+0)</f>
        <v/>
      </c>
      <c r="E5" s="5">
        <f>((Extraction!E7+Extraction!E5+Extraction!E6-Extraction!E4)+0)</f>
        <v/>
      </c>
      <c r="F5" t="inlineStr">
        <is>
          <t>CareEdge convention - see Conventions tab</t>
        </is>
      </c>
    </row>
    <row r="6">
      <c r="A6" t="inlineStr">
        <is>
          <t>PBILDT margin (%)</t>
        </is>
      </c>
      <c r="B6" s="9">
        <f>100*((Extraction!B7+Extraction!B5+Extraction!B6-Extraction!B4)+0)/Extraction!B3</f>
        <v/>
      </c>
      <c r="C6" s="9">
        <f>100*((Extraction!C7+Extraction!C5+Extraction!C6-Extraction!C4)+0)/Extraction!C3</f>
        <v/>
      </c>
      <c r="D6" s="9">
        <f>100*((Extraction!D7+Extraction!D5+Extraction!D6-Extraction!D4)+0)/Extraction!D3</f>
        <v/>
      </c>
      <c r="E6" s="9">
        <f>100*((Extraction!E7+Extraction!E5+Extraction!E6-Extraction!E4)+0)/Extraction!E3</f>
        <v/>
      </c>
      <c r="F6" t="inlineStr">
        <is>
          <t>PBILDT / operating income</t>
        </is>
      </c>
    </row>
    <row r="7">
      <c r="A7" t="inlineStr">
        <is>
          <t>PAT</t>
        </is>
      </c>
      <c r="B7" s="5">
        <f>Extraction!B10</f>
        <v/>
      </c>
      <c r="C7" s="5">
        <f>Extraction!C10</f>
        <v/>
      </c>
      <c r="D7" s="5">
        <f>Extraction!D10</f>
        <v/>
      </c>
      <c r="E7" s="5">
        <f>Extraction!E10</f>
        <v/>
      </c>
      <c r="F7" t="inlineStr">
        <is>
          <t>AR</t>
        </is>
      </c>
    </row>
    <row r="8">
      <c r="A8" t="inlineStr">
        <is>
          <t>PAT margin (%)</t>
        </is>
      </c>
      <c r="B8" s="9">
        <f>100*Extraction!B10/Extraction!B3</f>
        <v/>
      </c>
      <c r="C8" s="9">
        <f>100*Extraction!C10/Extraction!C3</f>
        <v/>
      </c>
      <c r="D8" s="9">
        <f>100*Extraction!D10/Extraction!D3</f>
        <v/>
      </c>
      <c r="E8" s="9">
        <f>100*Extraction!E10/Extraction!E3</f>
        <v/>
      </c>
      <c r="F8" t="inlineStr">
        <is>
          <t>PAT / operating income</t>
        </is>
      </c>
    </row>
    <row r="9">
      <c r="A9" t="inlineStr">
        <is>
          <t>Total debt</t>
        </is>
      </c>
      <c r="B9" s="5">
        <f>(Extraction!B51+Extraction!B59+Extraction!B52+Extraction!B60)</f>
        <v/>
      </c>
      <c r="C9" s="5">
        <f>(Extraction!C51+Extraction!C59+Extraction!C52+Extraction!C60)</f>
        <v/>
      </c>
      <c r="D9" s="5">
        <f>(Extraction!D51+Extraction!D59+Extraction!D52+Extraction!D60)</f>
        <v/>
      </c>
      <c r="E9" s="5">
        <f>(Extraction!E51+Extraction!E59+Extraction!E52+Extraction!E60)</f>
        <v/>
      </c>
      <c r="F9" t="inlineStr">
        <is>
          <t>borrowings + lease liabilities (CareEdge Sec.10)</t>
        </is>
      </c>
    </row>
    <row r="10">
      <c r="A10" t="inlineStr">
        <is>
          <t>Net debt</t>
        </is>
      </c>
      <c r="B10" s="5">
        <f>(Extraction!B51+Extraction!B59+Extraction!B52+Extraction!B60)-(Extraction!B36+Extraction!B37+Extraction!B34)</f>
        <v/>
      </c>
      <c r="C10" s="5">
        <f>(Extraction!C51+Extraction!C59+Extraction!C52+Extraction!C60)-(Extraction!C36+Extraction!C37+Extraction!C34)</f>
        <v/>
      </c>
      <c r="D10" s="5">
        <f>(Extraction!D51+Extraction!D59+Extraction!D52+Extraction!D60)-(Extraction!D36+Extraction!D37+Extraction!D34)</f>
        <v/>
      </c>
      <c r="E10" s="5">
        <f>(Extraction!E51+Extraction!E59+Extraction!E52+Extraction!E60)-(Extraction!E36+Extraction!E37+Extraction!E34)</f>
        <v/>
      </c>
      <c r="F10" t="inlineStr">
        <is>
          <t>total debt less cash, other bank balances and current investments</t>
        </is>
      </c>
    </row>
    <row r="11">
      <c r="A11" t="inlineStr">
        <is>
          <t>Tangible net worth</t>
        </is>
      </c>
      <c r="B11" s="5">
        <f>(Extraction!B49-Extraction!B21-Extraction!B22-Extraction!B23)</f>
        <v/>
      </c>
      <c r="C11" s="5">
        <f>(Extraction!C49-Extraction!C21-Extraction!C22-Extraction!C23)</f>
        <v/>
      </c>
      <c r="D11" s="5">
        <f>(Extraction!D49-Extraction!D21-Extraction!D22-Extraction!D23)</f>
        <v/>
      </c>
      <c r="E11" s="5">
        <f>(Extraction!E49-Extraction!E21-Extraction!E22-Extraction!E23)</f>
        <v/>
      </c>
      <c r="F11" t="inlineStr">
        <is>
          <t>total equity (incl. NCI) less goodwill and intangibles; DTA NOT deducted - that is the financial-sector definition (failure mode 32)</t>
        </is>
      </c>
    </row>
    <row r="12">
      <c r="A12" t="inlineStr">
        <is>
          <t>Overall gearing (times)</t>
        </is>
      </c>
      <c r="B12" s="9">
        <f>(Extraction!B51+Extraction!B59+Extraction!B52+Extraction!B60)/(Extraction!B49-Extraction!B21-Extraction!B22-Extraction!B23)</f>
        <v/>
      </c>
      <c r="C12" s="9">
        <f>(Extraction!C51+Extraction!C59+Extraction!C52+Extraction!C60)/(Extraction!C49-Extraction!C21-Extraction!C22-Extraction!C23)</f>
        <v/>
      </c>
      <c r="D12" s="9">
        <f>(Extraction!D51+Extraction!D59+Extraction!D52+Extraction!D60)/(Extraction!D49-Extraction!D21-Extraction!D22-Extraction!D23)</f>
        <v/>
      </c>
      <c r="E12" s="9">
        <f>(Extraction!E51+Extraction!E59+Extraction!E52+Extraction!E60)/(Extraction!E49-Extraction!E21-Extraction!E22-Extraction!E23)</f>
        <v/>
      </c>
      <c r="F12" t="inlineStr">
        <is>
          <t>UNADJUSTED - acceptances and group guarantees not separately disclosed</t>
        </is>
      </c>
    </row>
    <row r="13">
      <c r="A13" t="inlineStr">
        <is>
          <t>Total debt/PBILDT (times)</t>
        </is>
      </c>
      <c r="B13" s="9">
        <f>(Extraction!B51+Extraction!B59+Extraction!B52+Extraction!B60)/((Extraction!B7+Extraction!B5+Extraction!B6-Extraction!B4)+0)</f>
        <v/>
      </c>
      <c r="C13" s="9">
        <f>(Extraction!C51+Extraction!C59+Extraction!C52+Extraction!C60)/((Extraction!C7+Extraction!C5+Extraction!C6-Extraction!C4)+0)</f>
        <v/>
      </c>
      <c r="D13" s="9">
        <f>(Extraction!D51+Extraction!D59+Extraction!D52+Extraction!D60)/((Extraction!D7+Extraction!D5+Extraction!D6-Extraction!D4)+0)</f>
        <v/>
      </c>
      <c r="E13" s="9">
        <f>(Extraction!E51+Extraction!E59+Extraction!E52+Extraction!E60)/((Extraction!E7+Extraction!E5+Extraction!E6-Extraction!E4)+0)</f>
        <v/>
      </c>
      <c r="F13" t="inlineStr"/>
    </row>
    <row r="14">
      <c r="A14" t="inlineStr">
        <is>
          <t>Net debt/PBILDT (times)</t>
        </is>
      </c>
      <c r="B14" s="9">
        <f>((Extraction!B51+Extraction!B59+Extraction!B52+Extraction!B60)-(Extraction!B36+Extraction!B37+Extraction!B34))/((Extraction!B7+Extraction!B5+Extraction!B6-Extraction!B4)+0)</f>
        <v/>
      </c>
      <c r="C14" s="9">
        <f>((Extraction!C51+Extraction!C59+Extraction!C52+Extraction!C60)-(Extraction!C36+Extraction!C37+Extraction!C34))/((Extraction!C7+Extraction!C5+Extraction!C6-Extraction!C4)+0)</f>
        <v/>
      </c>
      <c r="D14" s="9">
        <f>((Extraction!D51+Extraction!D59+Extraction!D52+Extraction!D60)-(Extraction!D36+Extraction!D37+Extraction!D34))/((Extraction!D7+Extraction!D5+Extraction!D6-Extraction!D4)+0)</f>
        <v/>
      </c>
      <c r="E14" s="9">
        <f>((Extraction!E51+Extraction!E59+Extraction!E52+Extraction!E60)-(Extraction!E36+Extraction!E37+Extraction!E34))/((Extraction!E7+Extraction!E5+Extraction!E6-Extraction!E4)+0)</f>
        <v/>
      </c>
      <c r="F14" t="inlineStr"/>
    </row>
    <row r="15">
      <c r="A15" t="inlineStr">
        <is>
          <t>TOL/TNW (times)</t>
        </is>
      </c>
      <c r="B15" s="9">
        <f>(Extraction!B57+Extraction!B68)/(Extraction!B49-Extraction!B21-Extraction!B22-Extraction!B23)</f>
        <v/>
      </c>
      <c r="C15" s="9">
        <f>(Extraction!C57+Extraction!C68)/(Extraction!C49-Extraction!C21-Extraction!C22-Extraction!C23)</f>
        <v/>
      </c>
      <c r="D15" s="9">
        <f>(Extraction!D57+Extraction!D68)/(Extraction!D49-Extraction!D21-Extraction!D22-Extraction!D23)</f>
        <v/>
      </c>
      <c r="E15" s="9">
        <f>(Extraction!E57+Extraction!E68)/(Extraction!E49-Extraction!E21-Extraction!E22-Extraction!E23)</f>
        <v/>
      </c>
      <c r="F15" t="inlineStr">
        <is>
          <t>total outside liabilities / tangible net worth</t>
        </is>
      </c>
    </row>
    <row r="16">
      <c r="A16" t="inlineStr">
        <is>
          <t>Interest coverage (times)</t>
        </is>
      </c>
      <c r="B16" s="9">
        <f>((Extraction!B7+Extraction!B5+Extraction!B6-Extraction!B4)+0)/Extraction!B5</f>
        <v/>
      </c>
      <c r="C16" s="9">
        <f>((Extraction!C7+Extraction!C5+Extraction!C6-Extraction!C4)+0)/Extraction!C5</f>
        <v/>
      </c>
      <c r="D16" s="9">
        <f>((Extraction!D7+Extraction!D5+Extraction!D6-Extraction!D4)+0)/Extraction!D5</f>
        <v/>
      </c>
      <c r="E16" s="9">
        <f>((Extraction!E7+Extraction!E5+Extraction!E6-Extraction!E4)+0)/Extraction!E5</f>
        <v/>
      </c>
      <c r="F16" t="inlineStr">
        <is>
          <t>PBILDT / finance costs</t>
        </is>
      </c>
    </row>
    <row r="17">
      <c r="A17" t="inlineStr">
        <is>
          <t>Current ratio (times)</t>
        </is>
      </c>
      <c r="B17" s="9">
        <f>Extraction!B43/Extraction!B68</f>
        <v/>
      </c>
      <c r="C17" s="9">
        <f>Extraction!C43/Extraction!C68</f>
        <v/>
      </c>
      <c r="D17" s="9">
        <f>Extraction!D43/Extraction!D68</f>
        <v/>
      </c>
      <c r="E17" s="9">
        <f>Extraction!E43/Extraction!E68</f>
        <v/>
      </c>
      <c r="F17" t="inlineStr"/>
    </row>
    <row r="18">
      <c r="A18" t="inlineStr">
        <is>
          <t>EPS (Rs)</t>
        </is>
      </c>
      <c r="B18" s="9">
        <f>Extraction!B12</f>
        <v/>
      </c>
      <c r="C18" s="9">
        <f>Extraction!C12</f>
        <v/>
      </c>
      <c r="D18" s="9">
        <f>Extraction!D12</f>
        <v/>
      </c>
      <c r="E18" s="9">
        <f>Extraction!E12</f>
        <v/>
      </c>
      <c r="F18" t="inlineStr">
        <is>
          <t>AR, basic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62" customWidth="1" min="1" max="1"/>
    <col width="15" customWidth="1" min="2" max="2"/>
    <col width="15" customWidth="1" min="3" max="3"/>
    <col width="12" customWidth="1" min="4" max="4"/>
    <col width="62" customWidth="1" min="5" max="5"/>
  </cols>
  <sheetData>
    <row r="1">
      <c r="A1" s="1" t="inlineStr">
        <is>
          <t>Check</t>
        </is>
      </c>
      <c r="B1" s="1" t="inlineStr">
        <is>
          <t>Computed (live)</t>
        </is>
      </c>
      <c r="C1" s="1" t="inlineStr">
        <is>
          <t>Disclosed</t>
        </is>
      </c>
      <c r="D1" s="1" t="inlineStr">
        <is>
          <t>Result</t>
        </is>
      </c>
      <c r="E1" s="1" t="inlineStr">
        <is>
          <t>Source</t>
        </is>
      </c>
    </row>
    <row r="2">
      <c r="A2" t="inlineStr">
        <is>
          <t>Assets = equity + liabilities, FY2023</t>
        </is>
      </c>
      <c r="B2" s="10">
        <f>Extraction!B44</f>
        <v/>
      </c>
      <c r="C2" s="10">
        <f>Extraction!B69</f>
        <v/>
      </c>
      <c r="D2" s="11">
        <f>IF(ABS(B2-C2)&lt;=0.005,"PASS","FAIL")</f>
        <v/>
      </c>
      <c r="E2" t="inlineStr">
        <is>
          <t>consolidated balance sheet</t>
        </is>
      </c>
    </row>
    <row r="3">
      <c r="A3" t="inlineStr">
        <is>
          <t>Derived total assets = AR's printed total, FY2023</t>
        </is>
      </c>
      <c r="B3" s="10">
        <f>Extraction!B44</f>
        <v/>
      </c>
      <c r="C3" s="10">
        <f>Extraction!B71</f>
        <v/>
      </c>
      <c r="D3" s="11">
        <f>IF(ABS(B3-C3)&lt;=0.005,"PASS","FAIL")</f>
        <v/>
      </c>
      <c r="E3" t="inlineStr">
        <is>
          <t>AR consolidated balance sheet, Total row</t>
        </is>
      </c>
    </row>
    <row r="4">
      <c r="A4" t="inlineStr">
        <is>
          <t>Assets = equity + liabilities, FY2024</t>
        </is>
      </c>
      <c r="B4" s="10">
        <f>Extraction!C44</f>
        <v/>
      </c>
      <c r="C4" s="10">
        <f>Extraction!C69</f>
        <v/>
      </c>
      <c r="D4" s="11">
        <f>IF(ABS(B4-C4)&lt;=0.005,"PASS","FAIL")</f>
        <v/>
      </c>
      <c r="E4" t="inlineStr">
        <is>
          <t>consolidated balance sheet</t>
        </is>
      </c>
    </row>
    <row r="5">
      <c r="A5" t="inlineStr">
        <is>
          <t>Derived total assets = AR's printed total, FY2024</t>
        </is>
      </c>
      <c r="B5" s="10">
        <f>Extraction!C44</f>
        <v/>
      </c>
      <c r="C5" s="10">
        <f>Extraction!C71</f>
        <v/>
      </c>
      <c r="D5" s="11">
        <f>IF(ABS(B5-C5)&lt;=0.005,"PASS","FAIL")</f>
        <v/>
      </c>
      <c r="E5" t="inlineStr">
        <is>
          <t>AR consolidated balance sheet, Total row</t>
        </is>
      </c>
    </row>
    <row r="6">
      <c r="A6" t="inlineStr">
        <is>
          <t>Assets = equity + liabilities, FY2025</t>
        </is>
      </c>
      <c r="B6" s="10">
        <f>Extraction!D44</f>
        <v/>
      </c>
      <c r="C6" s="10">
        <f>Extraction!D69</f>
        <v/>
      </c>
      <c r="D6" s="11">
        <f>IF(ABS(B6-C6)&lt;=0.005,"PASS","FAIL")</f>
        <v/>
      </c>
      <c r="E6" t="inlineStr">
        <is>
          <t>consolidated balance sheet</t>
        </is>
      </c>
    </row>
    <row r="7">
      <c r="A7" t="inlineStr">
        <is>
          <t>Derived total assets = AR's printed total, FY2025</t>
        </is>
      </c>
      <c r="B7" s="10">
        <f>Extraction!D44</f>
        <v/>
      </c>
      <c r="C7" s="10">
        <f>Extraction!D71</f>
        <v/>
      </c>
      <c r="D7" s="11">
        <f>IF(ABS(B7-C7)&lt;=0.005,"PASS","FAIL")</f>
        <v/>
      </c>
      <c r="E7" t="inlineStr">
        <is>
          <t>AR consolidated balance sheet, Total row</t>
        </is>
      </c>
    </row>
    <row r="8">
      <c r="A8" t="inlineStr">
        <is>
          <t>Assets = equity + liabilities, FY2026</t>
        </is>
      </c>
      <c r="B8" s="10">
        <f>Extraction!E44</f>
        <v/>
      </c>
      <c r="C8" s="10">
        <f>Extraction!E69</f>
        <v/>
      </c>
      <c r="D8" s="11">
        <f>IF(ABS(B8-C8)&lt;=0.005,"PASS","FAIL")</f>
        <v/>
      </c>
      <c r="E8" t="inlineStr">
        <is>
          <t>consolidated balance sheet</t>
        </is>
      </c>
    </row>
    <row r="9">
      <c r="A9" t="inlineStr">
        <is>
          <t>Derived total assets = AR's printed total, FY2026</t>
        </is>
      </c>
      <c r="B9" s="10">
        <f>Extraction!E44</f>
        <v/>
      </c>
      <c r="C9" s="10">
        <f>Extraction!E71</f>
        <v/>
      </c>
      <c r="D9" s="11">
        <f>IF(ABS(B9-C9)&lt;=0.005,"PASS","FAIL")</f>
        <v/>
      </c>
      <c r="E9" t="inlineStr">
        <is>
          <t>AR consolidated balance sheet, Total row</t>
        </is>
      </c>
    </row>
    <row r="10">
      <c r="A10" t="inlineStr">
        <is>
          <t>PBILDT base = AR's own EBITDA line, FY2025</t>
        </is>
      </c>
      <c r="B10" s="10">
        <f>RatioSuite!D3</f>
        <v/>
      </c>
      <c r="C10" s="10" t="n">
        <v>4666.63</v>
      </c>
      <c r="D10" s="12">
        <f>IF(ABS(B10-C10)&lt;=0.005,"PASS","FAIL")</f>
        <v/>
      </c>
      <c r="E10" t="inlineStr">
        <is>
          <t>FY2025-26 AR consolidated financial highlights, EBITDA row - the company publishes EBITDA on exactly this definition</t>
        </is>
      </c>
    </row>
    <row r="11">
      <c r="A11" t="inlineStr">
        <is>
          <t>PBILDT base = AR's own EBITDA line, FY2026</t>
        </is>
      </c>
      <c r="B11" s="10">
        <f>RatioSuite!E3</f>
        <v/>
      </c>
      <c r="C11" s="10" t="n">
        <v>5560.43</v>
      </c>
      <c r="D11" s="12">
        <f>IF(ABS(B11-C11)&lt;=0.005,"PASS","FAIL")</f>
        <v/>
      </c>
      <c r="E11" t="inlineStr">
        <is>
          <t>FY2025-26 AR consolidated financial highlights, EBITDA row - the company publishes EBITDA on exactly this definition</t>
        </is>
      </c>
    </row>
    <row r="12">
      <c r="A12" t="inlineStr">
        <is>
          <t>Borrowings excl. leases = AR note, FY2023</t>
        </is>
      </c>
      <c r="B12" s="10">
        <f>Extraction!B51+Extraction!B59</f>
        <v/>
      </c>
      <c r="C12" s="10" t="n">
        <v>3871.43</v>
      </c>
      <c r="D12" s="12">
        <f>IF(ABS(B12-C12)&lt;=0.005,"PASS","FAIL")</f>
        <v/>
      </c>
      <c r="E12" t="inlineStr">
        <is>
          <t>FY2023-24 AR capital-management note</t>
        </is>
      </c>
    </row>
    <row r="13">
      <c r="A13" t="inlineStr">
        <is>
          <t>Borrowings excl. leases = AR note, FY2024</t>
        </is>
      </c>
      <c r="B13" s="10">
        <f>Extraction!C51+Extraction!C59</f>
        <v/>
      </c>
      <c r="C13" s="10" t="n">
        <v>5948.19</v>
      </c>
      <c r="D13" s="12">
        <f>IF(ABS(B13-C13)&lt;=0.005,"PASS","FAIL")</f>
        <v/>
      </c>
      <c r="E13" t="inlineStr">
        <is>
          <t>FY2023-24 AR capital-management note</t>
        </is>
      </c>
    </row>
    <row r="15">
      <c r="A15" s="6" t="inlineStr">
        <is>
          <t>FAILING ROWS (must be zero)</t>
        </is>
      </c>
      <c r="B15" s="13">
        <f>COUNTIF(D2:D13,"FAIL")</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18" customWidth="1" min="2" max="2"/>
  </cols>
  <sheetData>
    <row r="1">
      <c r="A1" s="1" t="inlineStr">
        <is>
          <t>Definition</t>
        </is>
      </c>
      <c r="B1" s="1" t="inlineStr">
        <is>
          <t>As applied here, in CareEdge's own terms</t>
        </is>
      </c>
    </row>
    <row r="2" ht="60" customHeight="1">
      <c r="A2" s="6" t="inlineStr">
        <is>
          <t>PBILDT</t>
        </is>
      </c>
      <c r="B2" s="14" t="inlineStr">
        <is>
          <t>PBT before exceptional items and share of equity-method investments, plus finance costs and depreciation, less other income. Non-debt forex stays INSIDE PBILDT in both directions (a gain reported in Other Income is restored); profit/loss on sale of assets and investments comes OUT.</t>
        </is>
      </c>
    </row>
    <row r="3" ht="60" customHeight="1">
      <c r="A3" s="6" t="inlineStr">
        <is>
          <t>Tangible net worth</t>
        </is>
      </c>
      <c r="B3" s="14" t="inlineStr">
        <is>
          <t>Total equity including non-controlling interest, less goodwill and all intangibles. Deferred tax assets are NOT deducted - that belongs to the financial-sector definition.</t>
        </is>
      </c>
    </row>
    <row r="4" ht="60" customHeight="1">
      <c r="A4" s="6" t="inlineStr">
        <is>
          <t>Total debt</t>
        </is>
      </c>
      <c r="B4" s="14" t="inlineStr">
        <is>
          <t>Borrowings plus lease liabilities. UNADJUSTED: CareEdge's adjusted measure also adds acceptances/LC creditors and group guarantees, neither separately disclosed in the consolidated accounts.</t>
        </is>
      </c>
    </row>
    <row r="5" ht="60" customHeight="1">
      <c r="A5" s="6" t="inlineStr">
        <is>
          <t>Exceptional items</t>
        </is>
      </c>
      <c r="B5" s="14" t="inlineStr">
        <is>
          <t>Excluded by construction - the PBILDT base starts below them. The FY2025 Jindal Coke stake loss (7.06) and FY2026 Ind AS 103 gain (17.40) sit INSIDE exceptional items per note 39/40 and must NOT be added back again.</t>
        </is>
      </c>
    </row>
    <row r="6" ht="75" customHeight="1">
      <c r="A6" s="6" t="inlineStr">
        <is>
          <t>DISCLOSED</t>
        </is>
      </c>
      <c r="B6" s="14" t="inlineStr">
        <is>
          <t>PBILDT equals the company's own published EBITDA - no residual to explain - Because neither CareEdge adjustment bites on this issuer, PBILDT here IS the base, and the base reproduces the annual report's own EBITDA line to the paisa in both years the company discloses one (FY2025 4,666.63; FY2026 5,560.43). For FY2023 and FY2024 the older annual report's capital-management note computes EBITDA off FULL profit before tax, so it carries the associate share and the exceptional item; bridging both back reproduces it exactly (FY2023 3,696.05; FY2024 4,856.57). There is no unexplained difference anywhere in the series.</t>
        </is>
      </c>
    </row>
    <row r="7" ht="75" customHeight="1">
      <c r="A7" s="6" t="inlineStr">
        <is>
          <t>DISCLOSED</t>
        </is>
      </c>
      <c r="B7" s="14" t="inlineStr">
        <is>
          <t>Loss on disposal of fixed assets is left unadjusted, and that is a choice - CareEdge's criteria treat profit or loss on sale of assets as non-operating. Profit on sale of current investments (FY2026 3.75, FY2025 4.85) sits in Other Income and is already excluded by the base. Loss on disposal of property, plant and equipment is NOT isolated as a line in the Other Expenses note; the cash-flow reconciliation implies about 11.61 crore in FY2026, or 0.2% of PBILDT. It is left unadjusted and stated here rather than adjusted off the cash-flow reconciliation - which had already been misread once in this case, when its unrealised-forex row was mistaken for the P&amp;L forex line.</t>
        </is>
      </c>
    </row>
    <row r="8" ht="75" customHeight="1">
      <c r="A8" s="6" t="inlineStr">
        <is>
          <t>DISCLOSED</t>
        </is>
      </c>
      <c r="B8" s="14" t="inlineStr">
        <is>
          <t>Adjusted leverage cannot be computed - two CareEdge inputs are not separately disclosed - CareEdge's corporate criteria compute an ADJUSTED gearing that adds acceptances / LC creditors to total debt and adds back corporate guarantees issued to group entities. The trade-payables ageing note (note 55) confirms in a footnote that amounts pertaining to letters of credit ARE included within 'Others' trade payables, but does not quantify them; searches for 'acceptance', "buyer's credit" and 'letter of credit' return no separate figure in the consolidated accounts, and guarantees to subsidiaries are not separately quantified either. Gearing and net debt/PBILDT here are therefore the UNADJUSTED measures. This matters more than a footnote suggests: CareEdge's own published sensitivities for this issuer are framed on net debt INCLUDING acceptances, so the adjusted figures would be higher than those stated here. Both inputs should be obtained from the issuer.</t>
        </is>
      </c>
    </row>
    <row r="9" ht="75" customHeight="1">
      <c r="A9" s="6" t="inlineStr">
        <is>
          <t>DISCLOSED</t>
        </is>
      </c>
      <c r="B9" s="14" t="inlineStr">
        <is>
          <t>Sales volume for FY2025 is derived, not disclosed - The FY2025-26 annual report states finished-goods sales volume of approximately 2.57 MT in FY2026, up 8.1%. The FY2025 figure of 2.377 MT is BACK-SOLVED from that growth rate and is not separately published, so PBILDT per tonne for FY2025 (19,633) inherits that derivation. Both per-tonne figures also rest on a volume the company itself reports as approximate, so they are indicative to roughly the nearest hundred rupees rather than precise to the rupee.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2026-08-27T01:32:54Z</dcterms:created>
  <dcterms:modified xmlns:dcterms="http://purl.org/dc/terms/" xmlns:xsi="http://www.w3.org/2001/XMLSchema-instance" xsi:type="dcterms:W3CDTF">2026-08-27T01:32:54Z</dcterms:modified>
</cp:coreProperties>
</file>