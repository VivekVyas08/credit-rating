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_and_L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Credit_Ratios" sheetId="4" state="visible" r:id="rId4"/>
    <sheet xmlns:r="http://schemas.openxmlformats.org/officeDocument/2006/relationships" name="Debt_Breakup" sheetId="5" state="visible" r:id="rId5"/>
    <sheet xmlns:r="http://schemas.openxmlformats.org/officeDocument/2006/relationships" name="Stress_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164" fontId="0" fillId="0" borderId="1" pivotButton="0" quotePrefix="0" xfId="0"/>
    <xf numFmtId="164" fontId="0" fillId="4" borderId="1" pivotButton="0" quotePrefix="0" xfId="0"/>
    <xf numFmtId="3" fontId="0" fillId="0" borderId="1" pivotButton="0" quotePrefix="0" xfId="0"/>
    <xf numFmtId="165" fontId="0" fillId="4" borderId="1" pivotButton="0" quotePrefix="0" xfId="0"/>
    <xf numFmtId="165" fontId="0" fillId="0" borderId="1" pivotButton="0" quotePrefix="0" xfId="0"/>
    <xf numFmtId="3" fontId="0" fillId="4" borderId="1" pivotButton="0" quotePrefix="0" xfId="0"/>
    <xf numFmtId="0" fontId="2" fillId="0" borderId="0" pivotButton="0" quotePrefix="0" xfId="0"/>
    <xf numFmtId="4" fontId="2" fillId="0" borderId="1" pivotButton="0" quotePrefix="0" xfId="0"/>
    <xf numFmtId="4" fontId="0" fillId="0" borderId="1" pivotButton="0" quotePrefix="0" xfId="0"/>
    <xf numFmtId="4" fontId="2" fillId="5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0" customWidth="1" min="11" max="11"/>
  </cols>
  <sheetData>
    <row r="1">
      <c r="A1" s="1" t="inlineStr">
        <is>
          <t>Jindal Stainless - model assumptions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1" t="inlineStr">
        <is>
          <t>Basis / source</t>
        </is>
      </c>
    </row>
    <row r="2">
      <c r="A2" s="3" t="inlineStr">
        <is>
          <t>DRIVERS (yellow = input)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t="inlineStr">
        <is>
          <t>Finished-goods sales volume (MT)</t>
        </is>
      </c>
      <c r="D3" s="5" t="n">
        <v>2.377</v>
      </c>
      <c r="E3" s="5" t="n">
        <v>2.57</v>
      </c>
      <c r="F3" s="6" t="n">
        <v>2.78</v>
      </c>
      <c r="G3" s="6" t="n">
        <v>3</v>
      </c>
      <c r="H3" s="6" t="n">
        <v>3.25</v>
      </c>
      <c r="I3" s="6" t="n">
        <v>3.45</v>
      </c>
      <c r="J3" s="6" t="n">
        <v>3.6</v>
      </c>
      <c r="K3" t="inlineStr">
        <is>
          <t>FY2026 ~2.57 MT stated in the AR (+8.1% Y-o-Y), which implies FY2025 2.377. The company aspires to 3.5 MT by FY2029; this base case haircuts that to 3.25 MT and reaches 3.5 MT only in FY2031 - a deliberate discount to an aspiration, labelled as such rather than adopted</t>
        </is>
      </c>
    </row>
    <row r="4">
      <c r="A4" t="inlineStr">
        <is>
          <t>Net sales realisation (Rs/tonne)</t>
        </is>
      </c>
      <c r="D4" s="7" t="n">
        <v>165385.8224652924</v>
      </c>
      <c r="E4" s="7" t="n">
        <v>167138.7548638133</v>
      </c>
      <c r="F4" s="7">
        <f>E4*(1+F5)</f>
        <v/>
      </c>
      <c r="G4" s="7">
        <f>F4*(1+G5)</f>
        <v/>
      </c>
      <c r="H4" s="7">
        <f>G4*(1+H5)</f>
        <v/>
      </c>
      <c r="I4" s="7">
        <f>H4*(1+I5)</f>
        <v/>
      </c>
      <c r="J4" s="7">
        <f>I4*(1+J5)</f>
        <v/>
      </c>
      <c r="K4" t="inlineStr">
        <is>
          <t>revenue / volume; FY2026 actual is the anchor</t>
        </is>
      </c>
    </row>
    <row r="5">
      <c r="A5" t="inlineStr">
        <is>
          <t xml:space="preserve">  NSR growth assumption</t>
        </is>
      </c>
      <c r="F5" s="8" t="n">
        <v>0.01</v>
      </c>
      <c r="G5" s="8" t="n">
        <v>0.015</v>
      </c>
      <c r="H5" s="8" t="n">
        <v>0.015</v>
      </c>
      <c r="I5" s="8" t="n">
        <v>0.015</v>
      </c>
      <c r="J5" s="8" t="n">
        <v>0.015</v>
      </c>
      <c r="K5" t="inlineStr">
        <is>
          <t>stainless realisation is nickel/chrome linked; a low single-digit drift is assumed rather than a price view - flexed on Stress_Case</t>
        </is>
      </c>
    </row>
    <row r="6">
      <c r="A6" t="inlineStr">
        <is>
          <t>PBILDT margin</t>
        </is>
      </c>
      <c r="B6" s="9" t="n">
        <v>0.1004590577983659</v>
      </c>
      <c r="C6" s="9" t="n">
        <v>0.1219914077080643</v>
      </c>
      <c r="D6" s="9" t="n">
        <v>0.1187068852145427</v>
      </c>
      <c r="E6" s="9" t="n">
        <v>0.1294488188243138</v>
      </c>
      <c r="F6" s="8" t="n">
        <v>0.128</v>
      </c>
      <c r="G6" s="8" t="n">
        <v>0.13</v>
      </c>
      <c r="H6" s="8" t="n">
        <v>0.132</v>
      </c>
      <c r="I6" s="8" t="n">
        <v>0.132</v>
      </c>
      <c r="J6" s="8" t="n">
        <v>0.131</v>
      </c>
      <c r="K6" t="inlineStr">
        <is>
          <t>FY2026 actual 12.97%; held broadly flat - volume operating leverage assumed to offset a richer but more contested value-added mix</t>
        </is>
      </c>
    </row>
    <row r="7">
      <c r="A7" t="inlineStr">
        <is>
          <t>Capital expenditure (Rs crore)</t>
        </is>
      </c>
      <c r="F7" s="10" t="n">
        <v>4000</v>
      </c>
      <c r="G7" s="10" t="n">
        <v>3600</v>
      </c>
      <c r="H7" s="10" t="n">
        <v>3200</v>
      </c>
      <c r="I7" s="10" t="n">
        <v>2700</v>
      </c>
      <c r="J7" s="10" t="n">
        <v>2400</v>
      </c>
      <c r="K7" t="inlineStr">
        <is>
          <t>FY2026 actual capex implied by the net-block roll-forward is ~Rs 4,226 cr (net block 14,876 -&gt; 18,042 plus 1,060 of depreciation). The base case starts AT that run-rate and tapers only gradually: the company is still scaling toward a 3.5 MT sales aspiration, so assuming a sharp capex step-down would manufacture a deleveraging that the growth plan contradicts</t>
        </is>
      </c>
    </row>
    <row r="8">
      <c r="A8" t="inlineStr">
        <is>
          <t>Depreciation rate on opening net block</t>
        </is>
      </c>
      <c r="F8" s="8" t="n">
        <v>0.07099999999999999</v>
      </c>
      <c r="G8" s="8" t="n">
        <v>0.07099999999999999</v>
      </c>
      <c r="H8" s="8" t="n">
        <v>0.07099999999999999</v>
      </c>
      <c r="I8" s="8" t="n">
        <v>0.07099999999999999</v>
      </c>
      <c r="J8" s="8" t="n">
        <v>0.07099999999999999</v>
      </c>
      <c r="K8" t="inlineStr">
        <is>
          <t>FY2025 7.28% and FY2026 7.13% implied; 7.1% carried forward</t>
        </is>
      </c>
    </row>
    <row r="9">
      <c r="A9" t="inlineStr">
        <is>
          <t>Interest rate on OPENING debt</t>
        </is>
      </c>
      <c r="F9" s="8" t="n">
        <v>0.078</v>
      </c>
      <c r="G9" s="8" t="n">
        <v>0.078</v>
      </c>
      <c r="H9" s="8" t="n">
        <v>0.078</v>
      </c>
      <c r="I9" s="8" t="n">
        <v>0.078</v>
      </c>
      <c r="J9" s="8" t="n">
        <v>0.078</v>
      </c>
      <c r="K9" t="inlineStr">
        <is>
          <t>implied FY2026 cost; priced on the OPENING balance so the model stays acyclic</t>
        </is>
      </c>
    </row>
    <row r="10">
      <c r="A10" t="inlineStr">
        <is>
          <t>Effective tax rate</t>
        </is>
      </c>
      <c r="F10" s="8" t="n">
        <v>0.25</v>
      </c>
      <c r="G10" s="8" t="n">
        <v>0.25</v>
      </c>
      <c r="H10" s="8" t="n">
        <v>0.25</v>
      </c>
      <c r="I10" s="8" t="n">
        <v>0.25</v>
      </c>
      <c r="J10" s="8" t="n">
        <v>0.25</v>
      </c>
      <c r="K10" t="inlineStr">
        <is>
          <t>FY2026 effective rate 24.9%</t>
        </is>
      </c>
    </row>
    <row r="11">
      <c r="A11" t="inlineStr">
        <is>
          <t>Dividend payout</t>
        </is>
      </c>
      <c r="F11" s="8" t="n">
        <v>0.12</v>
      </c>
      <c r="G11" s="8" t="n">
        <v>0.12</v>
      </c>
      <c r="H11" s="8" t="n">
        <v>0.12</v>
      </c>
      <c r="I11" s="8" t="n">
        <v>0.12</v>
      </c>
      <c r="J11" s="8" t="n">
        <v>0.12</v>
      </c>
      <c r="K11" t="inlineStr">
        <is>
          <t>broadly the recent payout</t>
        </is>
      </c>
    </row>
    <row r="12">
      <c r="A12" t="inlineStr">
        <is>
          <t>Operating net working capital, % of revenue</t>
        </is>
      </c>
      <c r="B12" s="9" t="n">
        <v>0.113477507792665</v>
      </c>
      <c r="C12" s="9" t="n">
        <v>0.09870607354767474</v>
      </c>
      <c r="D12" s="9" t="n">
        <v>0.08319323691036459</v>
      </c>
      <c r="E12" s="9" t="n">
        <v>0.07003524181078373</v>
      </c>
      <c r="F12" s="8" t="n">
        <v>0.07199999999999999</v>
      </c>
      <c r="G12" s="8" t="n">
        <v>0.07199999999999999</v>
      </c>
      <c r="H12" s="8" t="n">
        <v>0.07199999999999999</v>
      </c>
      <c r="I12" s="8" t="n">
        <v>0.07199999999999999</v>
      </c>
      <c r="J12" s="8" t="n">
        <v>0.07199999999999999</v>
      </c>
      <c r="K12" t="inlineStr">
        <is>
          <t>intensity has fallen 11.3% -&gt; 7.0% over FY2023-FY2026; held at 7.2%, a slight normalisation rather than assuming the improvement continues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0" customWidth="1" min="11" max="11"/>
  </cols>
  <sheetData>
    <row r="1">
      <c r="A1" s="1" t="inlineStr">
        <is>
          <t>Projected profit and loss (Rs crore)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1" t="inlineStr">
        <is>
          <t>Basis / source</t>
        </is>
      </c>
    </row>
    <row r="2">
      <c r="A2" s="11" t="inlineStr">
        <is>
          <t>Revenue from operations</t>
        </is>
      </c>
      <c r="B2" s="12" t="n">
        <v>35697.03</v>
      </c>
      <c r="C2" s="12" t="n">
        <v>38562.47</v>
      </c>
      <c r="D2" s="12" t="n">
        <v>39312.21</v>
      </c>
      <c r="E2" s="12" t="n">
        <v>42954.66</v>
      </c>
      <c r="F2" s="12">
        <f>Assumptions!F3*Assumptions!F4/10</f>
        <v/>
      </c>
      <c r="G2" s="12">
        <f>Assumptions!G3*Assumptions!G4/10</f>
        <v/>
      </c>
      <c r="H2" s="12">
        <f>Assumptions!H3*Assumptions!H4/10</f>
        <v/>
      </c>
      <c r="I2" s="12">
        <f>Assumptions!I3*Assumptions!I4/10</f>
        <v/>
      </c>
      <c r="J2" s="12">
        <f>Assumptions!J3*Assumptions!J4/10</f>
        <v/>
      </c>
      <c r="K2" t="inlineStr">
        <is>
          <t>volume (MT) x realisation (Rs/t), expressed in Rs crore</t>
        </is>
      </c>
    </row>
    <row r="3">
      <c r="A3" s="11" t="inlineStr">
        <is>
          <t>PBILDT</t>
        </is>
      </c>
      <c r="B3" s="12" t="n">
        <v>3586.09</v>
      </c>
      <c r="C3" s="12" t="n">
        <v>4704.29</v>
      </c>
      <c r="D3" s="12" t="n">
        <v>4666.629999999999</v>
      </c>
      <c r="E3" s="12" t="n">
        <v>5560.43</v>
      </c>
      <c r="F3" s="12">
        <f>F2*Assumptions!F6</f>
        <v/>
      </c>
      <c r="G3" s="12">
        <f>G2*Assumptions!G6</f>
        <v/>
      </c>
      <c r="H3" s="12">
        <f>H2*Assumptions!H6</f>
        <v/>
      </c>
      <c r="I3" s="12">
        <f>I2*Assumptions!I6</f>
        <v/>
      </c>
      <c r="J3" s="12">
        <f>J2*Assumptions!J6</f>
        <v/>
      </c>
      <c r="K3" t="inlineStr">
        <is>
          <t>revenue x margin assumption</t>
        </is>
      </c>
    </row>
    <row r="4">
      <c r="A4" t="inlineStr">
        <is>
          <t>Depreciation</t>
        </is>
      </c>
      <c r="B4" s="13" t="n">
        <v>723.75</v>
      </c>
      <c r="C4" s="13" t="n">
        <v>878.83</v>
      </c>
      <c r="D4" s="13" t="n">
        <v>956.12</v>
      </c>
      <c r="E4" s="13" t="n">
        <v>1060.3</v>
      </c>
      <c r="F4" s="13">
        <f>Balance_Sheet!F3*Assumptions!F8</f>
        <v/>
      </c>
      <c r="G4" s="13">
        <f>Balance_Sheet!G3*Assumptions!G8</f>
        <v/>
      </c>
      <c r="H4" s="13">
        <f>Balance_Sheet!H3*Assumptions!H8</f>
        <v/>
      </c>
      <c r="I4" s="13">
        <f>Balance_Sheet!I3*Assumptions!I8</f>
        <v/>
      </c>
      <c r="J4" s="13">
        <f>Balance_Sheet!J3*Assumptions!J8</f>
        <v/>
      </c>
      <c r="K4" t="inlineStr">
        <is>
          <t>OPENING net block x depreciation rate</t>
        </is>
      </c>
    </row>
    <row r="5">
      <c r="A5" t="inlineStr">
        <is>
          <t>Finance costs</t>
        </is>
      </c>
      <c r="B5" s="13" t="n">
        <v>324.62</v>
      </c>
      <c r="C5" s="13" t="n">
        <v>554.39</v>
      </c>
      <c r="D5" s="13" t="n">
        <v>611.64</v>
      </c>
      <c r="E5" s="13" t="n">
        <v>567.9299999999999</v>
      </c>
      <c r="F5" s="13">
        <f>Balance_Sheet!F4*Assumptions!F9</f>
        <v/>
      </c>
      <c r="G5" s="13">
        <f>Balance_Sheet!G4*Assumptions!G9</f>
        <v/>
      </c>
      <c r="H5" s="13">
        <f>Balance_Sheet!H4*Assumptions!H9</f>
        <v/>
      </c>
      <c r="I5" s="13">
        <f>Balance_Sheet!I4*Assumptions!I9</f>
        <v/>
      </c>
      <c r="J5" s="13">
        <f>Balance_Sheet!J4*Assumptions!J9</f>
        <v/>
      </c>
      <c r="K5" t="inlineStr">
        <is>
          <t>OPENING total debt x rate - opening, not average, keeps the model acyclic</t>
        </is>
      </c>
    </row>
    <row r="6">
      <c r="A6" s="11" t="inlineStr">
        <is>
          <t>Profit before tax</t>
        </is>
      </c>
      <c r="B6" s="12" t="n">
        <v>2664.01</v>
      </c>
      <c r="C6" s="12" t="n">
        <v>3440.19</v>
      </c>
      <c r="D6" s="12" t="n">
        <v>3389.72</v>
      </c>
      <c r="E6" s="12" t="n">
        <v>4283.68</v>
      </c>
      <c r="F6" s="12">
        <f>F3-F4-F5</f>
        <v/>
      </c>
      <c r="G6" s="12">
        <f>G3-G4-G5</f>
        <v/>
      </c>
      <c r="H6" s="12">
        <f>H3-H4-H5</f>
        <v/>
      </c>
      <c r="I6" s="12">
        <f>I3-I4-I5</f>
        <v/>
      </c>
      <c r="J6" s="12">
        <f>J3-J4-J5</f>
        <v/>
      </c>
      <c r="K6" t="inlineStr">
        <is>
          <t>PBILDT less depreciation less finance costs; no exceptional item or associate share is projected</t>
        </is>
      </c>
    </row>
    <row r="7">
      <c r="A7" s="11" t="inlineStr">
        <is>
          <t>Profit after tax</t>
        </is>
      </c>
      <c r="B7" s="12" t="n">
        <v>2083.83</v>
      </c>
      <c r="C7" s="12" t="n">
        <v>2693.48</v>
      </c>
      <c r="D7" s="12" t="n">
        <v>2499.72</v>
      </c>
      <c r="E7" s="12" t="n">
        <v>3184.57</v>
      </c>
      <c r="F7" s="12">
        <f>F6*(1-Assumptions!F10)</f>
        <v/>
      </c>
      <c r="G7" s="12">
        <f>G6*(1-Assumptions!G10)</f>
        <v/>
      </c>
      <c r="H7" s="12">
        <f>H6*(1-Assumptions!H10)</f>
        <v/>
      </c>
      <c r="I7" s="12">
        <f>I6*(1-Assumptions!I10)</f>
        <v/>
      </c>
      <c r="J7" s="12">
        <f>J6*(1-Assumptions!J10)</f>
        <v/>
      </c>
      <c r="K7" t="inlineStr"/>
    </row>
    <row r="8">
      <c r="A8" t="inlineStr">
        <is>
          <t>Dividend</t>
        </is>
      </c>
      <c r="F8" s="13">
        <f>F7*Assumptions!F11</f>
        <v/>
      </c>
      <c r="G8" s="13">
        <f>G7*Assumptions!G11</f>
        <v/>
      </c>
      <c r="H8" s="13">
        <f>H7*Assumptions!H11</f>
        <v/>
      </c>
      <c r="I8" s="13">
        <f>I7*Assumptions!I11</f>
        <v/>
      </c>
      <c r="J8" s="13">
        <f>J7*Assumptions!J11</f>
        <v/>
      </c>
      <c r="K8" t="inlineStr">
        <is>
          <t>payout x PAT</t>
        </is>
      </c>
    </row>
    <row r="9">
      <c r="A9" s="11" t="inlineStr">
        <is>
          <t>Retained earnings</t>
        </is>
      </c>
      <c r="F9" s="12">
        <f>F7-F8</f>
        <v/>
      </c>
      <c r="G9" s="12">
        <f>G7-G8</f>
        <v/>
      </c>
      <c r="H9" s="12">
        <f>H7-H8</f>
        <v/>
      </c>
      <c r="I9" s="12">
        <f>I7-I8</f>
        <v/>
      </c>
      <c r="J9" s="12">
        <f>J7-J8</f>
        <v/>
      </c>
      <c r="K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0" customWidth="1" min="11" max="11"/>
  </cols>
  <sheetData>
    <row r="1">
      <c r="A1" s="1" t="inlineStr">
        <is>
          <t>Balance sheet - debt DERIVED from the funding gap (Rs crore)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1" t="inlineStr">
        <is>
          <t>Basis / source</t>
        </is>
      </c>
    </row>
    <row r="2">
      <c r="A2" s="3" t="inlineStr">
        <is>
          <t>OPENING BALANCES (referenced by P_and_L - do not move these rows)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t="inlineStr">
        <is>
          <t>Opening net fixed assets</t>
        </is>
      </c>
      <c r="C3" s="13" t="n">
        <v>9776.210000000001</v>
      </c>
      <c r="D3" s="13" t="n">
        <v>13141.09</v>
      </c>
      <c r="E3" s="13" t="n">
        <v>14876.46</v>
      </c>
      <c r="F3" s="13">
        <f>E15</f>
        <v/>
      </c>
      <c r="G3" s="13">
        <f>F15</f>
        <v/>
      </c>
      <c r="H3" s="13">
        <f>G15</f>
        <v/>
      </c>
      <c r="I3" s="13">
        <f>H15</f>
        <v/>
      </c>
      <c r="J3" s="13">
        <f>I15</f>
        <v/>
      </c>
      <c r="K3" t="inlineStr">
        <is>
          <t>prior year's closing net block</t>
        </is>
      </c>
    </row>
    <row r="4">
      <c r="A4" t="inlineStr">
        <is>
          <t>Opening total debt</t>
        </is>
      </c>
      <c r="C4" s="13" t="n">
        <v>3958.170000000001</v>
      </c>
      <c r="D4" s="13" t="n">
        <v>6052.26</v>
      </c>
      <c r="E4" s="13" t="n">
        <v>6401.870000000001</v>
      </c>
      <c r="F4" s="13">
        <f>E11</f>
        <v/>
      </c>
      <c r="G4" s="13">
        <f>F11</f>
        <v/>
      </c>
      <c r="H4" s="13">
        <f>G11</f>
        <v/>
      </c>
      <c r="I4" s="13">
        <f>H11</f>
        <v/>
      </c>
      <c r="J4" s="13">
        <f>I11</f>
        <v/>
      </c>
      <c r="K4" t="inlineStr">
        <is>
          <t>prior year's closing debt - the balance finance costs are priced on</t>
        </is>
      </c>
    </row>
    <row r="6">
      <c r="A6" s="3" t="inlineStr">
        <is>
          <t>FUNDING GAP -&gt; CLOSING DEBT (failure mode 18: derived, never extrapolated)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t="inlineStr">
        <is>
          <t>Add: capital expenditure</t>
        </is>
      </c>
      <c r="F7" s="13">
        <f>Assumptions!F7</f>
        <v/>
      </c>
      <c r="G7" s="13">
        <f>Assumptions!G7</f>
        <v/>
      </c>
      <c r="H7" s="13">
        <f>Assumptions!H7</f>
        <v/>
      </c>
      <c r="I7" s="13">
        <f>Assumptions!I7</f>
        <v/>
      </c>
      <c r="J7" s="13">
        <f>Assumptions!J7</f>
        <v/>
      </c>
      <c r="K7" t="inlineStr">
        <is>
          <t>Assumptions</t>
        </is>
      </c>
    </row>
    <row r="8">
      <c r="A8" t="inlineStr">
        <is>
          <t>Add: increase in operating working capital</t>
        </is>
      </c>
      <c r="F8" s="13">
        <f>F16-E16</f>
        <v/>
      </c>
      <c r="G8" s="13">
        <f>G16-F16</f>
        <v/>
      </c>
      <c r="H8" s="13">
        <f>H16-G16</f>
        <v/>
      </c>
      <c r="I8" s="13">
        <f>I16-H16</f>
        <v/>
      </c>
      <c r="J8" s="13">
        <f>J16-I16</f>
        <v/>
      </c>
      <c r="K8" t="inlineStr">
        <is>
          <t>year-on-year movement in operating net working capital</t>
        </is>
      </c>
    </row>
    <row r="9">
      <c r="A9" t="inlineStr">
        <is>
          <t>Add: dividend</t>
        </is>
      </c>
      <c r="F9" s="13">
        <f>P_and_L!F8</f>
        <v/>
      </c>
      <c r="G9" s="13">
        <f>P_and_L!G8</f>
        <v/>
      </c>
      <c r="H9" s="13">
        <f>P_and_L!H8</f>
        <v/>
      </c>
      <c r="I9" s="13">
        <f>P_and_L!I8</f>
        <v/>
      </c>
      <c r="J9" s="13">
        <f>P_and_L!J8</f>
        <v/>
      </c>
      <c r="K9" t="inlineStr">
        <is>
          <t>from P_and_L</t>
        </is>
      </c>
    </row>
    <row r="10">
      <c r="A10" t="inlineStr">
        <is>
          <t>Less: cash generated (PAT + depreciation)</t>
        </is>
      </c>
      <c r="F10" s="13">
        <f>P_and_L!F7+P_and_L!F4</f>
        <v/>
      </c>
      <c r="G10" s="13">
        <f>P_and_L!G7+P_and_L!G4</f>
        <v/>
      </c>
      <c r="H10" s="13">
        <f>P_and_L!H7+P_and_L!H4</f>
        <v/>
      </c>
      <c r="I10" s="13">
        <f>P_and_L!I7+P_and_L!I4</f>
        <v/>
      </c>
      <c r="J10" s="13">
        <f>P_and_L!J7+P_and_L!J4</f>
        <v/>
      </c>
      <c r="K10" t="inlineStr">
        <is>
          <t>internal accrual available to fund the above</t>
        </is>
      </c>
    </row>
    <row r="11">
      <c r="A11" s="11" t="inlineStr">
        <is>
          <t>CLOSING TOTAL DEBT (derived)</t>
        </is>
      </c>
      <c r="B11" s="12" t="n">
        <v>3958.170000000001</v>
      </c>
      <c r="C11" s="12" t="n">
        <v>6052.26</v>
      </c>
      <c r="D11" s="12" t="n">
        <v>6401.870000000001</v>
      </c>
      <c r="E11" s="12" t="n">
        <v>7460.330000000001</v>
      </c>
      <c r="F11" s="14">
        <f>MAX(0,F4+F7+F8+F9-F10)</f>
        <v/>
      </c>
      <c r="G11" s="14">
        <f>MAX(0,G4+G7+G8+G9-G10)</f>
        <v/>
      </c>
      <c r="H11" s="14">
        <f>MAX(0,H4+H7+H8+H9-H10)</f>
        <v/>
      </c>
      <c r="I11" s="14">
        <f>MAX(0,I4+I7+I8+I9-I10)</f>
        <v/>
      </c>
      <c r="J11" s="14">
        <f>MAX(0,J4+J7+J8+J9-J10)</f>
        <v/>
      </c>
      <c r="K11" t="inlineStr">
        <is>
          <t>opening debt + capex + working-capital build + dividend - internal accrual. Debt is an OUTPUT of this arithmetic, never an input. Floored at zero so a negative funding gap surfaces as net cash below rather than as negative debt</t>
        </is>
      </c>
    </row>
    <row r="12">
      <c r="A12" t="inlineStr">
        <is>
          <t>Memo: net cash surplus if the funding gap turns negative</t>
        </is>
      </c>
      <c r="F12" s="13">
        <f>MAX(0,-(F4+F7+F8+F9-F10))</f>
        <v/>
      </c>
      <c r="G12" s="13">
        <f>MAX(0,-(G4+G7+G8+G9-G10))</f>
        <v/>
      </c>
      <c r="H12" s="13">
        <f>MAX(0,-(H4+H7+H8+H9-H10))</f>
        <v/>
      </c>
      <c r="I12" s="13">
        <f>MAX(0,-(I4+I7+I8+I9-I10))</f>
        <v/>
      </c>
      <c r="J12" s="13">
        <f>MAX(0,-(J4+J7+J8+J9-J10))</f>
        <v/>
      </c>
      <c r="K12" t="inlineStr">
        <is>
          <t>kept separate so a surplus cannot masquerade as negative debt</t>
        </is>
      </c>
    </row>
    <row r="14">
      <c r="A14" s="3" t="inlineStr">
        <is>
          <t>CLOSING BALANCE SHEET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t="inlineStr">
        <is>
          <t>Closing net fixed assets</t>
        </is>
      </c>
      <c r="B15" s="13" t="n">
        <v>9776.210000000001</v>
      </c>
      <c r="C15" s="13" t="n">
        <v>13141.09</v>
      </c>
      <c r="D15" s="13" t="n">
        <v>14876.46</v>
      </c>
      <c r="E15" s="13" t="n">
        <v>18041.62</v>
      </c>
      <c r="F15" s="13">
        <f>F3+F7-P_and_L!F4</f>
        <v/>
      </c>
      <c r="G15" s="13">
        <f>G3+G7-P_and_L!G4</f>
        <v/>
      </c>
      <c r="H15" s="13">
        <f>H3+H7-P_and_L!H4</f>
        <v/>
      </c>
      <c r="I15" s="13">
        <f>I3+I7-P_and_L!I4</f>
        <v/>
      </c>
      <c r="J15" s="13">
        <f>J3+J7-P_and_L!J4</f>
        <v/>
      </c>
      <c r="K15" t="inlineStr">
        <is>
          <t>opening + capex - depreciation</t>
        </is>
      </c>
    </row>
    <row r="16">
      <c r="A16" t="inlineStr">
        <is>
          <t>Operating net working capital</t>
        </is>
      </c>
      <c r="B16" s="13" t="n">
        <v>4050.809999999998</v>
      </c>
      <c r="C16" s="13" t="n">
        <v>3806.35</v>
      </c>
      <c r="D16" s="13" t="n">
        <v>3270.510000000004</v>
      </c>
      <c r="E16" s="13" t="n">
        <v>3008.34</v>
      </c>
      <c r="F16" s="13">
        <f>P_and_L!F2*Assumptions!F12</f>
        <v/>
      </c>
      <c r="G16" s="13">
        <f>P_and_L!G2*Assumptions!G12</f>
        <v/>
      </c>
      <c r="H16" s="13">
        <f>P_and_L!H2*Assumptions!H12</f>
        <v/>
      </c>
      <c r="I16" s="13">
        <f>P_and_L!I2*Assumptions!I12</f>
        <v/>
      </c>
      <c r="J16" s="13">
        <f>P_and_L!J2*Assumptions!J12</f>
        <v/>
      </c>
      <c r="K16" t="inlineStr">
        <is>
          <t>revenue x working-capital intensity; excludes short-term debt, which is funding</t>
        </is>
      </c>
    </row>
    <row r="17">
      <c r="A17" s="11" t="inlineStr">
        <is>
          <t>Tangible net worth</t>
        </is>
      </c>
      <c r="B17" s="12" t="n">
        <v>11009.7</v>
      </c>
      <c r="C17" s="12" t="n">
        <v>13149.16</v>
      </c>
      <c r="D17" s="12" t="n">
        <v>15001.41</v>
      </c>
      <c r="E17" s="12" t="n">
        <v>17900.83</v>
      </c>
      <c r="F17" s="12">
        <f>E17+P_and_L!F9</f>
        <v/>
      </c>
      <c r="G17" s="12">
        <f>F17+P_and_L!G9</f>
        <v/>
      </c>
      <c r="H17" s="12">
        <f>G17+P_and_L!H9</f>
        <v/>
      </c>
      <c r="I17" s="12">
        <f>H17+P_and_L!I9</f>
        <v/>
      </c>
      <c r="J17" s="12">
        <f>I17+P_and_L!J9</f>
        <v/>
      </c>
      <c r="K17" t="inlineStr">
        <is>
          <t>prior TNW + retained earnings; no equity issue assumed</t>
        </is>
      </c>
    </row>
    <row r="18">
      <c r="A18" s="11" t="inlineStr">
        <is>
          <t>Capital employed</t>
        </is>
      </c>
      <c r="B18" s="12">
        <f>B15+B16</f>
        <v/>
      </c>
      <c r="C18" s="12">
        <f>C15+C16</f>
        <v/>
      </c>
      <c r="D18" s="12">
        <f>D15+D16</f>
        <v/>
      </c>
      <c r="E18" s="12">
        <f>E15+E16</f>
        <v/>
      </c>
      <c r="F18" s="12">
        <f>F15+F16</f>
        <v/>
      </c>
      <c r="G18" s="12">
        <f>G15+G16</f>
        <v/>
      </c>
      <c r="H18" s="12">
        <f>H15+H16</f>
        <v/>
      </c>
      <c r="I18" s="12">
        <f>I15+I16</f>
        <v/>
      </c>
      <c r="J18" s="12">
        <f>J15+J16</f>
        <v/>
      </c>
      <c r="K18" t="inlineStr">
        <is>
          <t>closing net fixed assets + operating net working capital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0" customWidth="1" min="11" max="11"/>
  </cols>
  <sheetData>
    <row r="1">
      <c r="A1" s="1" t="inlineStr">
        <is>
          <t>Credit ratios - CareEdge conventions, by formula off the three statements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1" t="inlineStr">
        <is>
          <t>Basis / source</t>
        </is>
      </c>
    </row>
    <row r="2">
      <c r="A2" t="inlineStr">
        <is>
          <t>PBILDT margin (%)</t>
        </is>
      </c>
      <c r="B2" s="15">
        <f>100*P_and_L!B3/P_and_L!B2</f>
        <v/>
      </c>
      <c r="C2" s="15">
        <f>100*P_and_L!C3/P_and_L!C2</f>
        <v/>
      </c>
      <c r="D2" s="15">
        <f>100*P_and_L!D3/P_and_L!D2</f>
        <v/>
      </c>
      <c r="E2" s="15">
        <f>100*P_and_L!E3/P_and_L!E2</f>
        <v/>
      </c>
      <c r="F2" s="15">
        <f>100*P_and_L!F3/P_and_L!F2</f>
        <v/>
      </c>
      <c r="G2" s="15">
        <f>100*P_and_L!G3/P_and_L!G2</f>
        <v/>
      </c>
      <c r="H2" s="15">
        <f>100*P_and_L!H3/P_and_L!H2</f>
        <v/>
      </c>
      <c r="I2" s="15">
        <f>100*P_and_L!I3/P_and_L!I2</f>
        <v/>
      </c>
      <c r="J2" s="15">
        <f>100*P_and_L!J3/P_and_L!J2</f>
        <v/>
      </c>
      <c r="K2" t="inlineStr"/>
    </row>
    <row r="3">
      <c r="A3" t="inlineStr">
        <is>
          <t>Overall gearing (times)</t>
        </is>
      </c>
      <c r="B3" s="15">
        <f>Balance_Sheet!B11/Balance_Sheet!B17</f>
        <v/>
      </c>
      <c r="C3" s="15">
        <f>Balance_Sheet!C11/Balance_Sheet!C17</f>
        <v/>
      </c>
      <c r="D3" s="15">
        <f>Balance_Sheet!D11/Balance_Sheet!D17</f>
        <v/>
      </c>
      <c r="E3" s="15">
        <f>Balance_Sheet!E11/Balance_Sheet!E17</f>
        <v/>
      </c>
      <c r="F3" s="15">
        <f>Balance_Sheet!F11/Balance_Sheet!F17</f>
        <v/>
      </c>
      <c r="G3" s="15">
        <f>Balance_Sheet!G11/Balance_Sheet!G17</f>
        <v/>
      </c>
      <c r="H3" s="15">
        <f>Balance_Sheet!H11/Balance_Sheet!H17</f>
        <v/>
      </c>
      <c r="I3" s="15">
        <f>Balance_Sheet!I11/Balance_Sheet!I17</f>
        <v/>
      </c>
      <c r="J3" s="15">
        <f>Balance_Sheet!J11/Balance_Sheet!J17</f>
        <v/>
      </c>
      <c r="K3" t="inlineStr">
        <is>
          <t>total debt / tangible net worth; UNADJUSTED (see Conventions in the spreads)</t>
        </is>
      </c>
    </row>
    <row r="4">
      <c r="A4" t="inlineStr">
        <is>
          <t>Total debt/PBILDT (times)</t>
        </is>
      </c>
      <c r="B4" s="15">
        <f>Balance_Sheet!B11/P_and_L!B3</f>
        <v/>
      </c>
      <c r="C4" s="15">
        <f>Balance_Sheet!C11/P_and_L!C3</f>
        <v/>
      </c>
      <c r="D4" s="15">
        <f>Balance_Sheet!D11/P_and_L!D3</f>
        <v/>
      </c>
      <c r="E4" s="15">
        <f>Balance_Sheet!E11/P_and_L!E3</f>
        <v/>
      </c>
      <c r="F4" s="15">
        <f>Balance_Sheet!F11/P_and_L!F3</f>
        <v/>
      </c>
      <c r="G4" s="15">
        <f>Balance_Sheet!G11/P_and_L!G3</f>
        <v/>
      </c>
      <c r="H4" s="15">
        <f>Balance_Sheet!H11/P_and_L!H3</f>
        <v/>
      </c>
      <c r="I4" s="15">
        <f>Balance_Sheet!I11/P_and_L!I3</f>
        <v/>
      </c>
      <c r="J4" s="15">
        <f>Balance_Sheet!J11/P_and_L!J3</f>
        <v/>
      </c>
      <c r="K4" t="inlineStr"/>
    </row>
    <row r="5">
      <c r="A5" t="inlineStr">
        <is>
          <t>Interest coverage (times)</t>
        </is>
      </c>
      <c r="B5" s="15">
        <f>IF(OR(P_and_L!B5&lt;=0,P_and_L!B3/P_and_L!B5&gt;100),"n/m (net cash)",P_and_L!B3/P_and_L!B5)</f>
        <v/>
      </c>
      <c r="C5" s="15">
        <f>IF(OR(P_and_L!C5&lt;=0,P_and_L!C3/P_and_L!C5&gt;100),"n/m (net cash)",P_and_L!C3/P_and_L!C5)</f>
        <v/>
      </c>
      <c r="D5" s="15">
        <f>IF(OR(P_and_L!D5&lt;=0,P_and_L!D3/P_and_L!D5&gt;100),"n/m (net cash)",P_and_L!D3/P_and_L!D5)</f>
        <v/>
      </c>
      <c r="E5" s="15">
        <f>IF(OR(P_and_L!E5&lt;=0,P_and_L!E3/P_and_L!E5&gt;100),"n/m (net cash)",P_and_L!E3/P_and_L!E5)</f>
        <v/>
      </c>
      <c r="F5" s="15">
        <f>IF(OR(P_and_L!F5&lt;=0,P_and_L!F3/P_and_L!F5&gt;100),"n/m (net cash)",P_and_L!F3/P_and_L!F5)</f>
        <v/>
      </c>
      <c r="G5" s="15">
        <f>IF(OR(P_and_L!G5&lt;=0,P_and_L!G3/P_and_L!G5&gt;100),"n/m (net cash)",P_and_L!G3/P_and_L!G5)</f>
        <v/>
      </c>
      <c r="H5" s="15">
        <f>IF(OR(P_and_L!H5&lt;=0,P_and_L!H3/P_and_L!H5&gt;100),"n/m (net cash)",P_and_L!H3/P_and_L!H5)</f>
        <v/>
      </c>
      <c r="I5" s="15">
        <f>IF(OR(P_and_L!I5&lt;=0,P_and_L!I3/P_and_L!I5&gt;100),"n/m (net cash)",P_and_L!I3/P_and_L!I5)</f>
        <v/>
      </c>
      <c r="J5" s="15">
        <f>IF(OR(P_and_L!J5&lt;=0,P_and_L!J3/P_and_L!J5&gt;100),"n/m (net cash)",P_and_L!J3/P_and_L!J5)</f>
        <v/>
      </c>
      <c r="K5" t="inlineStr">
        <is>
          <t>guarded twice: at zero finance costs, and above 100x. A ratio of 290x is arithmetically correct but analytically meaningless - once debt approaches nil the coverage ratio stops measuring anything and should say so</t>
        </is>
      </c>
    </row>
    <row r="6">
      <c r="A6" t="inlineStr">
        <is>
          <t>PBILDT per tonne (Rs)</t>
        </is>
      </c>
      <c r="B6" s="7">
        <f>IF(N(Assumptions!B3)=0,"n/a - volume not disclosed",P_and_L!B3*10000000/(Assumptions!B3*1000000))</f>
        <v/>
      </c>
      <c r="C6" s="7">
        <f>IF(N(Assumptions!C3)=0,"n/a - volume not disclosed",P_and_L!C3*10000000/(Assumptions!C3*1000000))</f>
        <v/>
      </c>
      <c r="D6" s="7">
        <f>IF(N(Assumptions!D3)=0,"n/a - volume not disclosed",P_and_L!D3*10000000/(Assumptions!D3*1000000))</f>
        <v/>
      </c>
      <c r="E6" s="7">
        <f>IF(N(Assumptions!E3)=0,"n/a - volume not disclosed",P_and_L!E3*10000000/(Assumptions!E3*1000000))</f>
        <v/>
      </c>
      <c r="F6" s="7">
        <f>IF(N(Assumptions!F3)=0,"n/a - volume not disclosed",P_and_L!F3*10000000/(Assumptions!F3*1000000))</f>
        <v/>
      </c>
      <c r="G6" s="7">
        <f>IF(N(Assumptions!G3)=0,"n/a - volume not disclosed",P_and_L!G3*10000000/(Assumptions!G3*1000000))</f>
        <v/>
      </c>
      <c r="H6" s="7">
        <f>IF(N(Assumptions!H3)=0,"n/a - volume not disclosed",P_and_L!H3*10000000/(Assumptions!H3*1000000))</f>
        <v/>
      </c>
      <c r="I6" s="7">
        <f>IF(N(Assumptions!I3)=0,"n/a - volume not disclosed",P_and_L!I3*10000000/(Assumptions!I3*1000000))</f>
        <v/>
      </c>
      <c r="J6" s="7">
        <f>IF(N(Assumptions!J3)=0,"n/a - volume not disclosed",P_and_L!J3*10000000/(Assumptions!J3*1000000))</f>
        <v/>
      </c>
      <c r="K6" t="inlineStr">
        <is>
          <t>the metals-sector unit-economics metric. Guarded: the company discloses sales volume only from FY2025, so FY2023 and FY2024 divide by an empty cell. Unguarded this returned #DIV/0! - reported as not-disclosed rather than left as an error, and never back-filled with an estimate</t>
        </is>
      </c>
    </row>
    <row r="7">
      <c r="A7" t="inlineStr">
        <is>
          <t>Return on capital employed (%)</t>
        </is>
      </c>
      <c r="B7" s="15">
        <f>100*(P_and_L!B3-P_and_L!B4)/Balance_Sheet!B18</f>
        <v/>
      </c>
      <c r="C7" s="15">
        <f>100*(P_and_L!C3-P_and_L!C4)/Balance_Sheet!C18</f>
        <v/>
      </c>
      <c r="D7" s="15">
        <f>100*(P_and_L!D3-P_and_L!D4)/Balance_Sheet!D18</f>
        <v/>
      </c>
      <c r="E7" s="15">
        <f>100*(P_and_L!E3-P_and_L!E4)/Balance_Sheet!E18</f>
        <v/>
      </c>
      <c r="F7" s="15">
        <f>100*(P_and_L!F3-P_and_L!F4)/Balance_Sheet!F18</f>
        <v/>
      </c>
      <c r="G7" s="15">
        <f>100*(P_and_L!G3-P_and_L!G4)/Balance_Sheet!G18</f>
        <v/>
      </c>
      <c r="H7" s="15">
        <f>100*(P_and_L!H3-P_and_L!H4)/Balance_Sheet!H18</f>
        <v/>
      </c>
      <c r="I7" s="15">
        <f>100*(P_and_L!I3-P_and_L!I4)/Balance_Sheet!I18</f>
        <v/>
      </c>
      <c r="J7" s="15">
        <f>100*(P_and_L!J3-P_and_L!J4)/Balance_Sheet!J18</f>
        <v/>
      </c>
      <c r="K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0" customWidth="1" min="11" max="11"/>
  </cols>
  <sheetData>
    <row r="1">
      <c r="A1" s="1" t="inlineStr">
        <is>
          <t>Debt break-up - statutory decomposition, tied to the annual report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1" t="inlineStr">
        <is>
          <t>Basis / source</t>
        </is>
      </c>
    </row>
    <row r="2">
      <c r="A2" t="inlineStr">
        <is>
          <t>Borrowings - non-current</t>
        </is>
      </c>
      <c r="B2" s="13" t="n">
        <v>2791.79</v>
      </c>
      <c r="C2" s="13" t="n">
        <v>4562.76</v>
      </c>
      <c r="D2" s="13" t="n">
        <v>4319.72</v>
      </c>
      <c r="E2" s="13" t="n">
        <v>4935.93</v>
      </c>
      <c r="K2" t="inlineStr">
        <is>
          <t>AR consolidated balance sheet, note 18</t>
        </is>
      </c>
    </row>
    <row r="3">
      <c r="A3" t="inlineStr">
        <is>
          <t>Borrowings - current</t>
        </is>
      </c>
      <c r="B3" s="13" t="n">
        <v>1079.64</v>
      </c>
      <c r="C3" s="13" t="n">
        <v>1385.43</v>
      </c>
      <c r="D3" s="13" t="n">
        <v>1978.01</v>
      </c>
      <c r="E3" s="13" t="n">
        <v>2405.66</v>
      </c>
      <c r="K3" t="inlineStr">
        <is>
          <t>AR consolidated balance sheet, note 23</t>
        </is>
      </c>
    </row>
    <row r="4">
      <c r="A4" t="inlineStr">
        <is>
          <t>Lease liabilities - non-current</t>
        </is>
      </c>
      <c r="B4" s="13" t="n">
        <v>70.01000000000001</v>
      </c>
      <c r="C4" s="13" t="n">
        <v>89.48</v>
      </c>
      <c r="D4" s="13" t="n">
        <v>92.77</v>
      </c>
      <c r="E4" s="13" t="n">
        <v>93.77</v>
      </c>
      <c r="K4" t="inlineStr">
        <is>
          <t>AR note 19</t>
        </is>
      </c>
    </row>
    <row r="5">
      <c r="A5" t="inlineStr">
        <is>
          <t>Lease liabilities - current</t>
        </is>
      </c>
      <c r="B5" s="13" t="n">
        <v>16.73</v>
      </c>
      <c r="C5" s="13" t="n">
        <v>14.59</v>
      </c>
      <c r="D5" s="13" t="n">
        <v>11.37</v>
      </c>
      <c r="E5" s="13" t="n">
        <v>24.97</v>
      </c>
      <c r="K5" t="inlineStr">
        <is>
          <t>AR note 19</t>
        </is>
      </c>
    </row>
    <row r="6">
      <c r="A6" s="11" t="inlineStr">
        <is>
          <t>Total debt (CareEdge convention)</t>
        </is>
      </c>
      <c r="B6" s="12" t="n">
        <v>3958.170000000001</v>
      </c>
      <c r="C6" s="12" t="n">
        <v>6052.26</v>
      </c>
      <c r="D6" s="12" t="n">
        <v>6401.870000000001</v>
      </c>
      <c r="E6" s="12" t="n">
        <v>7460.330000000001</v>
      </c>
      <c r="K6" t="inlineStr">
        <is>
          <t>borrowings + leases; UNADJUSTED - acceptances and group guarantees are not separately disclosed, so CareEdge's adjusted gearing cannot be reproduced</t>
        </is>
      </c>
    </row>
    <row r="7">
      <c r="A7" t="inlineStr">
        <is>
          <t>Memo: borrowings excluding leases</t>
        </is>
      </c>
      <c r="B7" s="13" t="n">
        <v>3871.43</v>
      </c>
      <c r="C7" s="13" t="n">
        <v>5948.190000000001</v>
      </c>
      <c r="D7" s="13" t="n">
        <v>6297.73</v>
      </c>
      <c r="E7" s="13" t="n">
        <v>7341.59</v>
      </c>
      <c r="K7" t="inlineStr">
        <is>
          <t>ties exactly to the FY2023-24 AR capital-management note (FY2023 3,871.43; FY2024 5,948.19)</t>
        </is>
      </c>
    </row>
    <row r="9">
      <c r="A9" s="11" t="inlineStr">
        <is>
          <t>RATED LIMITS vs DRAWN DEBT - different measures, never to be conflated (failure mode 13)</t>
        </is>
      </c>
    </row>
    <row r="10">
      <c r="A10" t="inlineStr">
        <is>
          <t>CareEdge rated: long-term bank facilities</t>
        </is>
      </c>
      <c r="B10" s="13" t="n">
        <v>5900</v>
      </c>
      <c r="K10" t="inlineStr">
        <is>
          <t>CareEdge press release, 09-Oct-2025 - CRA-published, not issuer-confirmed</t>
        </is>
      </c>
    </row>
    <row r="11">
      <c r="A11" t="inlineStr">
        <is>
          <t>CareEdge rated: short-term bank facilities</t>
        </is>
      </c>
      <c r="B11" s="13" t="n">
        <v>11000</v>
      </c>
      <c r="K11" t="inlineStr">
        <is>
          <t>CareEdge press release, 09-Oct-2025 - CRA-published, not issuer-confirmed</t>
        </is>
      </c>
    </row>
    <row r="12">
      <c r="A12" t="inlineStr">
        <is>
          <t>CareEdge rated: NCD</t>
        </is>
      </c>
      <c r="B12" s="13" t="n">
        <v>99</v>
      </c>
      <c r="K12" t="inlineStr">
        <is>
          <t>CareEdge press release, 09-Oct-2025</t>
        </is>
      </c>
    </row>
    <row r="13">
      <c r="A13" t="inlineStr">
        <is>
          <t>CareEdge rated: NCD (proposed)</t>
        </is>
      </c>
      <c r="B13" s="13" t="n">
        <v>1000</v>
      </c>
      <c r="K13" t="inlineStr">
        <is>
          <t>CareEdge press release, 09-Oct-2025</t>
        </is>
      </c>
    </row>
    <row r="14">
      <c r="A14" t="inlineStr">
        <is>
          <t>Total rated LIMITS</t>
        </is>
      </c>
      <c r="B14" s="13" t="n">
        <v>17999</v>
      </c>
      <c r="K14" t="inlineStr">
        <is>
          <t>lines verified to sum to the published total (failure mode 12); these are LIMITS</t>
        </is>
      </c>
    </row>
    <row r="15">
      <c r="A15" t="inlineStr">
        <is>
          <t>Drawn debt at 31-Mar-2026</t>
        </is>
      </c>
      <c r="B15" s="13" t="n">
        <v>7460.330000000001</v>
      </c>
      <c r="K15" t="inlineStr">
        <is>
          <t>balance-sheet borrowings + leases - a different measure from rated limits, and the two will not agree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70" customWidth="1" min="11" max="11"/>
  </cols>
  <sheetData>
    <row r="1">
      <c r="A1" s="1" t="inlineStr">
        <is>
          <t>Stress case - the variables CareEdge's manufacturing criteria name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FY2027E</t>
        </is>
      </c>
      <c r="G1" s="2" t="inlineStr">
        <is>
          <t>FY2028E</t>
        </is>
      </c>
      <c r="H1" s="2" t="inlineStr">
        <is>
          <t>FY2029E</t>
        </is>
      </c>
      <c r="I1" s="2" t="inlineStr">
        <is>
          <t>FY2030E</t>
        </is>
      </c>
      <c r="J1" s="2" t="inlineStr">
        <is>
          <t>FY2031E</t>
        </is>
      </c>
      <c r="K1" s="1" t="inlineStr">
        <is>
          <t>Basis / source</t>
        </is>
      </c>
    </row>
    <row r="2">
      <c r="A2" s="3" t="inlineStr">
        <is>
          <t>STRESS APPLIED TO THE BASE CASE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11" t="inlineStr">
        <is>
          <t>Variable</t>
        </is>
      </c>
      <c r="B3" s="11" t="inlineStr">
        <is>
          <t>Base case</t>
        </is>
      </c>
      <c r="E3" s="11" t="inlineStr">
        <is>
          <t>Stressed</t>
        </is>
      </c>
    </row>
    <row r="4">
      <c r="A4" s="11" t="inlineStr">
        <is>
          <t>Sales volume</t>
        </is>
      </c>
      <c r="B4" t="inlineStr">
        <is>
          <t>2.78 -&gt; 3.60 MT</t>
        </is>
      </c>
      <c r="E4" t="inlineStr">
        <is>
          <t>flat at FY2026's 2.57 MT</t>
        </is>
      </c>
      <c r="K4" t="inlineStr">
        <is>
          <t>a global oversupply / import-pressure scenario; the AR itself notes world stainless melt output growing only 0.3% in CY2026 and 2.2% in CY2027</t>
        </is>
      </c>
    </row>
    <row r="5">
      <c r="A5" s="11" t="inlineStr">
        <is>
          <t>Net sales realisation</t>
        </is>
      </c>
      <c r="B5" t="inlineStr">
        <is>
          <t>+1.0-1.5% p.a.</t>
        </is>
      </c>
      <c r="E5" t="inlineStr">
        <is>
          <t>-6% in year 1, then flat</t>
        </is>
      </c>
      <c r="K5" t="inlineStr">
        <is>
          <t>nickel and chrome linked realisation shock</t>
        </is>
      </c>
    </row>
    <row r="6">
      <c r="A6" s="11" t="inlineStr">
        <is>
          <t>PBILDT margin</t>
        </is>
      </c>
      <c r="B6" t="inlineStr">
        <is>
          <t>12.8-13.2%</t>
        </is>
      </c>
      <c r="E6" t="inlineStr">
        <is>
          <t>10.5% year 1, recovering to 11.5%</t>
        </is>
      </c>
      <c r="K6" t="inlineStr">
        <is>
          <t>operating deleverage on flat volume plus an unrecovered input-cost move</t>
        </is>
      </c>
    </row>
    <row r="7">
      <c r="A7" s="11" t="inlineStr">
        <is>
          <t>Capital expenditure</t>
        </is>
      </c>
      <c r="B7" t="inlineStr">
        <is>
          <t>Rs 3,200 cr tapering</t>
        </is>
      </c>
      <c r="E7" t="inlineStr">
        <is>
          <t>held at plan year 1, then cut 40%</t>
        </is>
      </c>
      <c r="K7" t="inlineStr">
        <is>
          <t>committed spend cannot be stopped immediately - year one is largely sunk, which is precisely why a demand shock hits leverage before it hits capex</t>
        </is>
      </c>
    </row>
    <row r="9">
      <c r="A9" s="3" t="inlineStr">
        <is>
          <t>INDICATIVE STRESSED OUTCOME, YEAR 1 (FY2027)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t="inlineStr">
        <is>
          <t>Revenue (Rs crore)</t>
        </is>
      </c>
      <c r="B10" s="7" t="n">
        <v>40377.38040000001</v>
      </c>
      <c r="K10" t="inlineStr">
        <is>
          <t>flat volume at a 6% lower realisation</t>
        </is>
      </c>
    </row>
    <row r="11">
      <c r="A11" t="inlineStr">
        <is>
          <t>PBILDT (Rs crore)</t>
        </is>
      </c>
      <c r="B11" s="7" t="n">
        <v>4239.624942</v>
      </c>
      <c r="K11" t="inlineStr">
        <is>
          <t>at a 10.5% stressed margin</t>
        </is>
      </c>
    </row>
    <row r="12">
      <c r="A12" t="inlineStr">
        <is>
          <t>PBILDT margin (%)</t>
        </is>
      </c>
      <c r="B12" s="16" t="n">
        <v>10.5</v>
      </c>
      <c r="K12" t="inlineStr"/>
    </row>
    <row r="13">
      <c r="A13" t="inlineStr">
        <is>
          <t>Total debt/PBILDT (times)</t>
        </is>
      </c>
      <c r="B13" s="15" t="n">
        <v>1.759667447489038</v>
      </c>
      <c r="K13" t="inlineStr">
        <is>
          <t>on FY2026 closing debt held flat - conservative, since a demand shock also releases working capital</t>
        </is>
      </c>
    </row>
    <row r="14">
      <c r="A14" t="inlineStr">
        <is>
          <t>Interest coverage (times)</t>
        </is>
      </c>
      <c r="B14" s="15" t="n">
        <v>7.285758930647428</v>
      </c>
      <c r="K14" t="inlineStr"/>
    </row>
    <row r="16">
      <c r="A16" t="inlineStr">
        <is>
          <t>Read-across: on this stress the issuer still holds about 1.76x total debt/PBILDT and about 7.3x interest coverage - both computed in the rows above rather than asserted, after an earlier draft of this tab carried 1.9x and 4x that had never been computed from anything. That is a rating-TOLERANCE outcome rather than a rating-transition one, which is the point of running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2026-08-27T01:40:24Z</dcterms:created>
  <dcterms:modified xmlns:dcterms="http://purl.org/dc/terms/" xmlns:xsi="http://www.w3.org/2001/XMLSchema-instance" xsi:type="dcterms:W3CDTF">2026-08-27T01:40:24Z</dcterms:modified>
</cp:coreProperties>
</file>