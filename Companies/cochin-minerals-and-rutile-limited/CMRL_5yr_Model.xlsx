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_Base" sheetId="2" state="visible" r:id="rId2"/>
    <sheet xmlns:r="http://schemas.openxmlformats.org/officeDocument/2006/relationships" name="Stress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CreditRatios" sheetId="5" state="visible" r:id="rId5"/>
    <sheet xmlns:r="http://schemas.openxmlformats.org/officeDocument/2006/relationships" name="DebtBreak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62" customWidth="1" min="7" max="7"/>
  </cols>
  <sheetData>
    <row r="1">
      <c r="A1" s="1" t="inlineStr">
        <is>
          <t>Driver</t>
        </is>
      </c>
      <c r="B1" s="1" t="inlineStr">
        <is>
          <t>FY2027</t>
        </is>
      </c>
      <c r="C1" s="1" t="inlineStr">
        <is>
          <t>FY2028</t>
        </is>
      </c>
      <c r="D1" s="1" t="inlineStr">
        <is>
          <t>FY2029</t>
        </is>
      </c>
      <c r="E1" s="1" t="inlineStr">
        <is>
          <t>FY2030</t>
        </is>
      </c>
      <c r="F1" s="1" t="inlineStr">
        <is>
          <t>FY2031</t>
        </is>
      </c>
      <c r="G1" s="1" t="inlineStr">
        <is>
          <t>Source / basis</t>
        </is>
      </c>
    </row>
    <row r="2">
      <c r="A2" t="inlineStr">
        <is>
          <t>Synthetic rutile capacity (MT)</t>
        </is>
      </c>
      <c r="B2" t="n">
        <v>50000</v>
      </c>
      <c r="C2" t="n">
        <v>50000</v>
      </c>
      <c r="D2" t="n">
        <v>50000</v>
      </c>
      <c r="E2" t="n">
        <v>50000</v>
      </c>
      <c r="F2" t="n">
        <v>50000</v>
      </c>
      <c r="G2" t="inlineStr">
        <is>
          <t>AR 2025-26. FIXED - no expansion is assumed, and the metallisation project that would have added capacity was impaired and abandoned in FY2026 for want of ilmenite.</t>
        </is>
      </c>
    </row>
    <row r="3">
      <c r="A3" t="inlineStr">
        <is>
          <t>Revenue (Rs crore)</t>
        </is>
      </c>
      <c r="B3" t="n">
        <v>420</v>
      </c>
      <c r="C3" t="n">
        <v>450</v>
      </c>
      <c r="D3" t="n">
        <v>470</v>
      </c>
      <c r="E3" t="n">
        <v>490</v>
      </c>
      <c r="F3" t="n">
        <v>505</v>
      </c>
      <c r="G3" t="inlineStr">
        <is>
          <t>FY2027 ANCHORED ON Q1 FY2027 ACTUALS, not extrapolated from FY2026. Q1 revenue of 131.26 crore annualises to 525 crore; FY2027 is set BELOW that at 420 because one quarter is not a run-rate and Q1 is not seasonally adjusted. Thereafter growth is capacity- and ilmenite-constrained, so it is realisation- and mix-led.</t>
        </is>
      </c>
    </row>
    <row r="4">
      <c r="A4" t="inlineStr">
        <is>
          <t>PBILDT margin (%)</t>
        </is>
      </c>
      <c r="B4" t="n">
        <v>10.5</v>
      </c>
      <c r="C4" t="n">
        <v>10</v>
      </c>
      <c r="D4" t="n">
        <v>10</v>
      </c>
      <c r="E4" t="n">
        <v>10.25</v>
      </c>
      <c r="F4" t="n">
        <v>10.25</v>
      </c>
      <c r="G4" t="inlineStr">
        <is>
          <t>Q1 FY2027 actual margin was 11.6%, against 7.96% in FY2026 and 12.61% in FY2024. FY2027 is set at 10.5% - a clear recovery from the trough but BELOW the Q1 print and well below FY2024, because the ilmenite price/availability squeeze the company itself describes has not been resolved, only eased.</t>
        </is>
      </c>
    </row>
    <row r="5">
      <c r="A5" t="inlineStr">
        <is>
          <t>Capex (Rs crore)</t>
        </is>
      </c>
      <c r="B5" t="n">
        <v>12</v>
      </c>
      <c r="C5" t="n">
        <v>12</v>
      </c>
      <c r="D5" t="n">
        <v>15</v>
      </c>
      <c r="E5" t="n">
        <v>15</v>
      </c>
      <c r="F5" t="n">
        <v>15</v>
      </c>
      <c r="G5" t="inlineStr">
        <is>
          <t>ANALYST JUDGMENT. Maintenance level. FY2026 capex was modest and the one growth project was abandoned; no new project is announced.</t>
        </is>
      </c>
    </row>
    <row r="6">
      <c r="A6" t="inlineStr">
        <is>
          <t>Average interest rate (%)</t>
        </is>
      </c>
      <c r="B6" t="n">
        <v>8.5</v>
      </c>
      <c r="C6" t="n">
        <v>8.5</v>
      </c>
      <c r="D6" t="n">
        <v>8.5</v>
      </c>
      <c r="E6" t="n">
        <v>8.5</v>
      </c>
      <c r="F6" t="n">
        <v>8.5</v>
      </c>
      <c r="G6" t="inlineStr">
        <is>
          <t>Working-capital rate. Immaterial to the outcome: total debt is 6.21 crore.</t>
        </is>
      </c>
    </row>
    <row r="7">
      <c r="A7" t="inlineStr">
        <is>
          <t>Effective tax rate (%)</t>
        </is>
      </c>
      <c r="B7" t="n">
        <v>25.2</v>
      </c>
      <c r="C7" t="n">
        <v>25.2</v>
      </c>
      <c r="D7" t="n">
        <v>25.2</v>
      </c>
      <c r="E7" t="n">
        <v>25.2</v>
      </c>
      <c r="F7" t="n">
        <v>25.2</v>
      </c>
      <c r="G7" t="inlineStr">
        <is>
          <t>Statutory rate under s.115BAA. FY2026 effective rate is distorted by the exceptional impairment.</t>
        </is>
      </c>
    </row>
    <row r="8">
      <c r="A8" t="inlineStr">
        <is>
          <t>Dividend payout (% of PAT)</t>
        </is>
      </c>
      <c r="B8" t="n">
        <v>25</v>
      </c>
      <c r="C8" t="n">
        <v>25</v>
      </c>
      <c r="D8" t="n">
        <v>25</v>
      </c>
      <c r="E8" t="n">
        <v>25</v>
      </c>
      <c r="F8" t="n">
        <v>25</v>
      </c>
      <c r="G8" t="inlineStr">
        <is>
          <t>ANALYST JUDGMENT, consistent with the company's dividend record and its unpaid-dividend account.</t>
        </is>
      </c>
    </row>
    <row r="9"/>
    <row r="10">
      <c r="A10" s="2" t="inlineStr">
        <is>
          <t>STRESS CASE - the variables the manufacturing criteria and the company itself name</t>
        </is>
      </c>
    </row>
    <row r="11">
      <c r="A11" t="inlineStr">
        <is>
          <t>Revenue (Rs crore)</t>
        </is>
      </c>
      <c r="B11" t="n">
        <v>300</v>
      </c>
      <c r="C11" t="n">
        <v>285</v>
      </c>
      <c r="D11" t="n">
        <v>300</v>
      </c>
      <c r="E11" t="n">
        <v>315</v>
      </c>
      <c r="F11" t="n">
        <v>330</v>
      </c>
      <c r="G11" t="inlineStr">
        <is>
          <t>STRESS: the Q1 FY2027 recovery does not hold and volumes fall back to the FY2026 trough or below, on renewed ilmenite shortage or import disruption - the variable the company itself names as the reason its capex project was abandoned.</t>
        </is>
      </c>
    </row>
    <row r="12">
      <c r="A12" t="inlineStr">
        <is>
          <t>PBILDT margin (%)</t>
        </is>
      </c>
      <c r="B12" t="n">
        <v>6.5</v>
      </c>
      <c r="C12" t="n">
        <v>5.5</v>
      </c>
      <c r="D12" t="n">
        <v>6</v>
      </c>
      <c r="E12" t="n">
        <v>6.5</v>
      </c>
      <c r="F12" t="n">
        <v>7</v>
      </c>
      <c r="G12" t="inlineStr">
        <is>
          <t>STRESS: synthetic rutile realisations fall further while ilmenite does not follow - the exact asymmetry described in the FY2025-26 annual report.</t>
        </is>
      </c>
    </row>
    <row r="13"/>
    <row r="14">
      <c r="A14" t="inlineStr">
        <is>
          <t>Q1 FY2027 ACTUAL (the anchor for FY2027)</t>
        </is>
      </c>
      <c r="B14" t="inlineStr"/>
      <c r="C14" t="inlineStr"/>
      <c r="D14" t="inlineStr"/>
      <c r="E14" t="inlineStr"/>
      <c r="F14" t="inlineStr"/>
      <c r="G14" t="inlineStr">
        <is>
          <t>Revenue rose 72.2% year on year (13,126.13 against 7,620.74 in Q1 FY2026) and profit before exceptional items 231% (1,679.87 against 507.42). PAT of 1,238.18 in ONE quarter is within 1% of the ENTIRE FY2026 figure of 1,250.60. FY2026 therefore reads as the trough of a raw-material and price squeeze rather than a structural decline. Source: BSE filing for the quarter ended 30-06-2026.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Rs crore</t>
        </is>
      </c>
      <c r="B1" s="1" t="inlineStr">
        <is>
          <t>FY2027</t>
        </is>
      </c>
      <c r="C1" s="1" t="inlineStr">
        <is>
          <t>FY2028</t>
        </is>
      </c>
      <c r="D1" s="1" t="inlineStr">
        <is>
          <t>FY2029</t>
        </is>
      </c>
      <c r="E1" s="1" t="inlineStr">
        <is>
          <t>FY2030</t>
        </is>
      </c>
      <c r="F1" s="1" t="inlineStr">
        <is>
          <t>FY2031</t>
        </is>
      </c>
    </row>
    <row r="2">
      <c r="A2" t="inlineStr">
        <is>
          <t>Revenue</t>
        </is>
      </c>
      <c r="B2" t="n">
        <v>420</v>
      </c>
      <c r="C2" t="n">
        <v>450</v>
      </c>
      <c r="D2" t="n">
        <v>470</v>
      </c>
      <c r="E2" t="n">
        <v>490</v>
      </c>
      <c r="F2" t="n">
        <v>505</v>
      </c>
    </row>
    <row r="3">
      <c r="A3" t="inlineStr">
        <is>
          <t>PBILDT</t>
        </is>
      </c>
      <c r="B3" t="n">
        <v>44.1</v>
      </c>
      <c r="C3" t="n">
        <v>45</v>
      </c>
      <c r="D3" t="n">
        <v>47</v>
      </c>
      <c r="E3" t="n">
        <v>50.23</v>
      </c>
      <c r="F3" t="n">
        <v>51.76</v>
      </c>
    </row>
    <row r="4">
      <c r="A4" t="inlineStr">
        <is>
          <t>PBILDT margin (%)</t>
        </is>
      </c>
      <c r="B4" t="n">
        <v>10.5</v>
      </c>
      <c r="C4" t="n">
        <v>10</v>
      </c>
      <c r="D4" t="n">
        <v>10</v>
      </c>
      <c r="E4" t="n">
        <v>10.25</v>
      </c>
      <c r="F4" t="n">
        <v>10.25</v>
      </c>
    </row>
    <row r="5">
      <c r="A5" t="inlineStr">
        <is>
          <t>Depreciation</t>
        </is>
      </c>
      <c r="B5" t="n">
        <v>1.67</v>
      </c>
      <c r="C5" t="n">
        <v>1.76</v>
      </c>
      <c r="D5" t="n">
        <v>1.84</v>
      </c>
      <c r="E5" t="n">
        <v>1.94</v>
      </c>
      <c r="F5" t="n">
        <v>2.03</v>
      </c>
    </row>
    <row r="6">
      <c r="A6" t="inlineStr">
        <is>
          <t>Interest</t>
        </is>
      </c>
      <c r="B6" t="n">
        <v>0.53</v>
      </c>
      <c r="C6" t="n">
        <v>0.53</v>
      </c>
      <c r="D6" t="n">
        <v>0.53</v>
      </c>
      <c r="E6" t="n">
        <v>0.53</v>
      </c>
      <c r="F6" t="n">
        <v>0.53</v>
      </c>
    </row>
    <row r="7">
      <c r="A7" t="inlineStr">
        <is>
          <t>PBT</t>
        </is>
      </c>
      <c r="B7" t="n">
        <v>41.9</v>
      </c>
      <c r="C7" t="n">
        <v>42.71</v>
      </c>
      <c r="D7" t="n">
        <v>44.63</v>
      </c>
      <c r="E7" t="n">
        <v>47.76</v>
      </c>
      <c r="F7" t="n">
        <v>49.2</v>
      </c>
    </row>
    <row r="8">
      <c r="A8" t="inlineStr">
        <is>
          <t>PAT</t>
        </is>
      </c>
      <c r="B8" t="n">
        <v>31.34</v>
      </c>
      <c r="C8" t="n">
        <v>31.95</v>
      </c>
      <c r="D8" t="n">
        <v>33.38</v>
      </c>
      <c r="E8" t="n">
        <v>35.72</v>
      </c>
      <c r="F8" t="n">
        <v>36.8</v>
      </c>
    </row>
    <row r="9">
      <c r="A9" t="inlineStr">
        <is>
          <t>Gross cash accruals</t>
        </is>
      </c>
      <c r="B9" t="n">
        <v>33.01</v>
      </c>
      <c r="C9" t="n">
        <v>33.71</v>
      </c>
      <c r="D9" t="n">
        <v>35.23</v>
      </c>
      <c r="E9" t="n">
        <v>37.66</v>
      </c>
      <c r="F9" t="n">
        <v>38.84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Rs crore</t>
        </is>
      </c>
      <c r="B1" s="1" t="inlineStr">
        <is>
          <t>FY2027</t>
        </is>
      </c>
      <c r="C1" s="1" t="inlineStr">
        <is>
          <t>FY2028</t>
        </is>
      </c>
      <c r="D1" s="1" t="inlineStr">
        <is>
          <t>FY2029</t>
        </is>
      </c>
      <c r="E1" s="1" t="inlineStr">
        <is>
          <t>FY2030</t>
        </is>
      </c>
      <c r="F1" s="1" t="inlineStr">
        <is>
          <t>FY2031</t>
        </is>
      </c>
    </row>
    <row r="2">
      <c r="A2" t="inlineStr">
        <is>
          <t>Revenue</t>
        </is>
      </c>
      <c r="B2" t="n">
        <v>300</v>
      </c>
      <c r="C2" t="n">
        <v>285</v>
      </c>
      <c r="D2" t="n">
        <v>300</v>
      </c>
      <c r="E2" t="n">
        <v>315</v>
      </c>
      <c r="F2" t="n">
        <v>330</v>
      </c>
    </row>
    <row r="3">
      <c r="A3" t="inlineStr">
        <is>
          <t>PBILDT</t>
        </is>
      </c>
      <c r="B3" t="n">
        <v>19.5</v>
      </c>
      <c r="C3" t="n">
        <v>15.68</v>
      </c>
      <c r="D3" t="n">
        <v>18</v>
      </c>
      <c r="E3" t="n">
        <v>20.48</v>
      </c>
      <c r="F3" t="n">
        <v>23.1</v>
      </c>
    </row>
    <row r="4">
      <c r="A4" t="inlineStr">
        <is>
          <t>PBILDT margin (%)</t>
        </is>
      </c>
      <c r="B4" t="n">
        <v>6.5</v>
      </c>
      <c r="C4" t="n">
        <v>5.5</v>
      </c>
      <c r="D4" t="n">
        <v>6</v>
      </c>
      <c r="E4" t="n">
        <v>6.5</v>
      </c>
      <c r="F4" t="n">
        <v>7</v>
      </c>
    </row>
    <row r="5">
      <c r="A5" t="inlineStr">
        <is>
          <t>Depreciation</t>
        </is>
      </c>
      <c r="B5" t="n">
        <v>1.67</v>
      </c>
      <c r="C5" t="n">
        <v>1.76</v>
      </c>
      <c r="D5" t="n">
        <v>1.84</v>
      </c>
      <c r="E5" t="n">
        <v>1.94</v>
      </c>
      <c r="F5" t="n">
        <v>2.03</v>
      </c>
    </row>
    <row r="6">
      <c r="A6" t="inlineStr">
        <is>
          <t>Interest</t>
        </is>
      </c>
      <c r="B6" t="n">
        <v>0.53</v>
      </c>
      <c r="C6" t="n">
        <v>0.53</v>
      </c>
      <c r="D6" t="n">
        <v>0.53</v>
      </c>
      <c r="E6" t="n">
        <v>0.53</v>
      </c>
      <c r="F6" t="n">
        <v>0.53</v>
      </c>
    </row>
    <row r="7">
      <c r="A7" t="inlineStr">
        <is>
          <t>PBT</t>
        </is>
      </c>
      <c r="B7" t="n">
        <v>17.3</v>
      </c>
      <c r="C7" t="n">
        <v>13.39</v>
      </c>
      <c r="D7" t="n">
        <v>15.63</v>
      </c>
      <c r="E7" t="n">
        <v>18.01</v>
      </c>
      <c r="F7" t="n">
        <v>20.54</v>
      </c>
    </row>
    <row r="8">
      <c r="A8" t="inlineStr">
        <is>
          <t>PAT</t>
        </is>
      </c>
      <c r="B8" t="n">
        <v>12.94</v>
      </c>
      <c r="C8" t="n">
        <v>10.02</v>
      </c>
      <c r="D8" t="n">
        <v>11.69</v>
      </c>
      <c r="E8" t="n">
        <v>13.47</v>
      </c>
      <c r="F8" t="n">
        <v>15.36</v>
      </c>
    </row>
    <row r="9">
      <c r="A9" t="inlineStr">
        <is>
          <t>Gross cash accruals</t>
        </is>
      </c>
      <c r="B9" t="n">
        <v>14.61</v>
      </c>
      <c r="C9" t="n">
        <v>11.77</v>
      </c>
      <c r="D9" t="n">
        <v>13.53</v>
      </c>
      <c r="E9" t="n">
        <v>15.41</v>
      </c>
      <c r="F9" t="n">
        <v>17.4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Rs crore</t>
        </is>
      </c>
      <c r="B1" s="1" t="inlineStr">
        <is>
          <t>FY2027</t>
        </is>
      </c>
      <c r="C1" s="1" t="inlineStr">
        <is>
          <t>FY2028</t>
        </is>
      </c>
      <c r="D1" s="1" t="inlineStr">
        <is>
          <t>FY2029</t>
        </is>
      </c>
      <c r="E1" s="1" t="inlineStr">
        <is>
          <t>FY2030</t>
        </is>
      </c>
      <c r="F1" s="1" t="inlineStr">
        <is>
          <t>FY2031</t>
        </is>
      </c>
    </row>
    <row r="2">
      <c r="A2" t="inlineStr">
        <is>
          <t>Capex</t>
        </is>
      </c>
      <c r="B2" t="n">
        <v>12</v>
      </c>
      <c r="C2" t="n">
        <v>12</v>
      </c>
      <c r="D2" t="n">
        <v>15</v>
      </c>
      <c r="E2" t="n">
        <v>15</v>
      </c>
      <c r="F2" t="n">
        <v>15</v>
      </c>
    </row>
    <row r="3">
      <c r="A3" t="inlineStr">
        <is>
          <t>Dividend</t>
        </is>
      </c>
      <c r="B3" t="n">
        <v>7.84</v>
      </c>
      <c r="C3" t="n">
        <v>7.99</v>
      </c>
      <c r="D3" t="n">
        <v>8.35</v>
      </c>
      <c r="E3" t="n">
        <v>8.93</v>
      </c>
      <c r="F3" t="n">
        <v>9.199999999999999</v>
      </c>
    </row>
    <row r="4">
      <c r="A4" t="inlineStr">
        <is>
          <t>Less: gross cash accruals</t>
        </is>
      </c>
      <c r="B4" t="n">
        <v>33.01</v>
      </c>
      <c r="C4" t="n">
        <v>33.71</v>
      </c>
      <c r="D4" t="n">
        <v>35.23</v>
      </c>
      <c r="E4" t="n">
        <v>37.66</v>
      </c>
      <c r="F4" t="n">
        <v>38.84</v>
      </c>
    </row>
    <row r="5">
      <c r="A5">
        <f> FUNDING GAP (derived)</f>
        <v/>
      </c>
      <c r="B5" t="n">
        <v>-13.18</v>
      </c>
      <c r="C5" t="n">
        <v>-13.72</v>
      </c>
      <c r="D5" t="n">
        <v>-11.88</v>
      </c>
      <c r="E5" t="n">
        <v>-13.73</v>
      </c>
      <c r="F5" t="n">
        <v>-14.64</v>
      </c>
    </row>
    <row r="6">
      <c r="A6" t="inlineStr">
        <is>
          <t>Total debt</t>
        </is>
      </c>
      <c r="B6" t="n">
        <v>6.21</v>
      </c>
      <c r="C6" t="n">
        <v>6.21</v>
      </c>
      <c r="D6" t="n">
        <v>6.21</v>
      </c>
      <c r="E6" t="n">
        <v>6.21</v>
      </c>
      <c r="F6" t="n">
        <v>6.21</v>
      </c>
    </row>
    <row r="7">
      <c r="A7" t="inlineStr">
        <is>
          <t>Unencumbered cash</t>
        </is>
      </c>
      <c r="B7" t="n">
        <v>51.34</v>
      </c>
      <c r="C7" t="n">
        <v>65.06</v>
      </c>
      <c r="D7" t="n">
        <v>76.94</v>
      </c>
      <c r="E7" t="n">
        <v>90.68000000000001</v>
      </c>
      <c r="F7" t="n">
        <v>105.31</v>
      </c>
    </row>
    <row r="8">
      <c r="A8" t="inlineStr">
        <is>
          <t>NET DEBT / (NET CASH)</t>
        </is>
      </c>
      <c r="B8" t="n">
        <v>-45.13</v>
      </c>
      <c r="C8" t="n">
        <v>-58.85</v>
      </c>
      <c r="D8" t="n">
        <v>-70.73</v>
      </c>
      <c r="E8" t="n">
        <v>-84.45999999999999</v>
      </c>
      <c r="F8" t="n">
        <v>-99.09999999999999</v>
      </c>
    </row>
    <row r="9"/>
    <row r="10">
      <c r="A10" t="inlineStr">
        <is>
          <t>Funding gap = capex + dividend - internal accrual. It is NEGATIVE throughout: this issuer funds its capex from accruals and accumulates cash. The debt path is derived, not extrapolated (failure mode 18).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CareEdge convention</t>
        </is>
      </c>
      <c r="B1" s="1" t="inlineStr">
        <is>
          <t>FY2024</t>
        </is>
      </c>
      <c r="C1" s="1" t="inlineStr">
        <is>
          <t>FY2025</t>
        </is>
      </c>
      <c r="D1" s="1" t="inlineStr">
        <is>
          <t>FY2026</t>
        </is>
      </c>
      <c r="E1" s="1" t="inlineStr">
        <is>
          <t>FY2027</t>
        </is>
      </c>
      <c r="F1" s="1" t="inlineStr">
        <is>
          <t>FY2028</t>
        </is>
      </c>
      <c r="G1" s="1" t="inlineStr">
        <is>
          <t>FY2029</t>
        </is>
      </c>
      <c r="H1" s="1" t="inlineStr">
        <is>
          <t>FY2030</t>
        </is>
      </c>
      <c r="I1" s="1" t="inlineStr">
        <is>
          <t>FY2031</t>
        </is>
      </c>
    </row>
    <row r="2">
      <c r="A2" t="inlineStr">
        <is>
          <t>PBILDT margin (%)</t>
        </is>
      </c>
      <c r="B2" t="n">
        <v>12.61</v>
      </c>
      <c r="C2" t="n">
        <v>9.67</v>
      </c>
      <c r="D2" t="n">
        <v>7.96</v>
      </c>
      <c r="E2" t="n">
        <v>10.5</v>
      </c>
      <c r="F2" t="n">
        <v>10</v>
      </c>
      <c r="G2" t="n">
        <v>10</v>
      </c>
      <c r="H2" t="n">
        <v>10.25</v>
      </c>
      <c r="I2" t="n">
        <v>10.25</v>
      </c>
    </row>
    <row r="3">
      <c r="A3" t="inlineStr">
        <is>
          <t>Overall gearing (x)</t>
        </is>
      </c>
      <c r="B3" t="n">
        <v>0.039</v>
      </c>
      <c r="C3" t="n">
        <v>0.065</v>
      </c>
      <c r="D3" t="n">
        <v>0.036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Interest coverage (x)</t>
        </is>
      </c>
      <c r="B4" t="n">
        <v>45.1</v>
      </c>
      <c r="C4" t="n">
        <v>152.2</v>
      </c>
      <c r="D4" t="n">
        <v>121.8</v>
      </c>
      <c r="E4" t="n">
        <v>83.5</v>
      </c>
      <c r="F4" t="n">
        <v>85.2</v>
      </c>
      <c r="G4" t="n">
        <v>89</v>
      </c>
      <c r="H4" t="n">
        <v>95.09999999999999</v>
      </c>
      <c r="I4" t="n">
        <v>98</v>
      </c>
    </row>
    <row r="5">
      <c r="A5" t="inlineStr">
        <is>
          <t>Net debt / (net cash)</t>
        </is>
      </c>
      <c r="B5" t="n">
        <v>5.69</v>
      </c>
      <c r="C5" t="n">
        <v>-11.28</v>
      </c>
      <c r="D5" t="n">
        <v>-31.95</v>
      </c>
      <c r="E5" t="n">
        <v>-45.13</v>
      </c>
      <c r="F5" t="n">
        <v>-58.85</v>
      </c>
      <c r="G5" t="n">
        <v>-70.73</v>
      </c>
      <c r="H5" t="n">
        <v>-84.45999999999999</v>
      </c>
      <c r="I5" t="n">
        <v>-99.09999999999999</v>
      </c>
    </row>
    <row r="6">
      <c r="A6" t="inlineStr">
        <is>
          <t>RoCE (%)</t>
        </is>
      </c>
      <c r="B6" t="n">
        <v>24.02</v>
      </c>
      <c r="C6" t="n">
        <v>16.88</v>
      </c>
      <c r="D6" t="n">
        <v>12.28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11" customWidth="1" min="3" max="3"/>
    <col width="11" customWidth="1" min="4" max="4"/>
    <col width="62" customWidth="1" min="5" max="5"/>
  </cols>
  <sheetData>
    <row r="1">
      <c r="A1" s="1" t="inlineStr">
        <is>
          <t>Component (Rs crore, standalone)</t>
        </is>
      </c>
      <c r="B1" s="1" t="inlineStr">
        <is>
          <t>FY2024</t>
        </is>
      </c>
      <c r="C1" s="1" t="inlineStr">
        <is>
          <t>FY2025</t>
        </is>
      </c>
      <c r="D1" s="1" t="inlineStr">
        <is>
          <t>FY2026</t>
        </is>
      </c>
      <c r="E1" s="1" t="inlineStr">
        <is>
          <t>Source</t>
        </is>
      </c>
    </row>
    <row r="2">
      <c r="A2" t="inlineStr">
        <is>
          <t>Borrowings - long term</t>
        </is>
      </c>
      <c r="B2" t="n">
        <v>3.37</v>
      </c>
      <c r="C2" t="n">
        <v>0</v>
      </c>
      <c r="D2" t="n">
        <v>0</v>
      </c>
      <c r="E2" t="inlineStr">
        <is>
          <t>AR 2024-25 standalone statements (FY2024 comparative) note 16 - NIL from FY2025; the company is essentially debt-free</t>
        </is>
      </c>
    </row>
    <row r="3">
      <c r="A3" t="inlineStr">
        <is>
          <t>Borrowings - short term</t>
        </is>
      </c>
      <c r="B3" t="n">
        <v>2.35</v>
      </c>
      <c r="C3" t="n">
        <v>10.78</v>
      </c>
      <c r="D3" t="n">
        <v>6.21</v>
      </c>
      <c r="E3" t="inlineStr">
        <is>
          <t>AR 2025-26 standalone statements note 16</t>
        </is>
      </c>
    </row>
    <row r="4">
      <c r="A4" t="inlineStr">
        <is>
          <t>TOTAL DEBT</t>
        </is>
      </c>
      <c r="B4" t="n">
        <v>5.72</v>
      </c>
      <c r="C4" t="n">
        <v>10.78</v>
      </c>
      <c r="D4" t="n">
        <v>6.21</v>
      </c>
      <c r="E4" t="inlineStr">
        <is>
          <t>sum of the above</t>
        </is>
      </c>
    </row>
    <row r="5">
      <c r="A5" t="inlineStr">
        <is>
          <t>Unencumbered cash</t>
        </is>
      </c>
      <c r="B5" t="n">
        <v>0.03</v>
      </c>
      <c r="C5" t="n">
        <v>22.06</v>
      </c>
      <c r="D5" t="n">
        <v>38.17</v>
      </c>
      <c r="E5" t="inlineStr">
        <is>
          <t>cash and cash equivalents PLUS 3-12 month deposits; margin money against BG/LC and unpaid dividend EXCLUDED (note 12)</t>
        </is>
      </c>
    </row>
    <row r="6">
      <c r="A6" t="inlineStr">
        <is>
          <t>Encumbered bank balances</t>
        </is>
      </c>
      <c r="B6" t="inlineStr">
        <is>
          <t>not split</t>
        </is>
      </c>
      <c r="C6" t="n">
        <v>5.59</v>
      </c>
      <c r="D6" t="n">
        <v>5.57</v>
      </c>
      <c r="E6" t="inlineStr">
        <is>
          <t>margin money vs BG/LC + unpaid dividend</t>
        </is>
      </c>
    </row>
    <row r="7">
      <c r="A7" t="inlineStr">
        <is>
          <t>NET DEBT / (NET CASH)</t>
        </is>
      </c>
      <c r="B7" t="n">
        <v>5.69</v>
      </c>
      <c r="C7" t="n">
        <v>-11.28</v>
      </c>
      <c r="D7" t="n">
        <v>-31.95</v>
      </c>
      <c r="E7" t="inlineStr">
        <is>
          <t>derived on UNENCUMBERED cash</t>
        </is>
      </c>
    </row>
    <row r="8"/>
    <row r="9">
      <c r="A9" s="2" t="inlineStr">
        <is>
          <t>RATED LIMITS vs DRAWN DEBT (failure modes 13/31)</t>
        </is>
      </c>
    </row>
    <row r="10">
      <c r="A10" t="inlineStr">
        <is>
          <t>Rated limits</t>
        </is>
      </c>
      <c r="B10" t="inlineStr">
        <is>
          <t>TO BE CONFIRMED BY ISSUER</t>
        </is>
      </c>
      <c r="C10" t="inlineStr"/>
      <c r="D10" t="inlineStr"/>
      <c r="E10" t="inlineStr">
        <is>
          <t>NO same-issuer CRA publication exists. The pre-flight's hits were Cochin SHIPYARD and Sarda Energy &amp; MINERALS - different companies. Importing a peer's rated amount would be worse than leaving it TBC (failure mode 29).</t>
        </is>
      </c>
    </row>
    <row r="11">
      <c r="A11" t="inlineStr">
        <is>
          <t>Drawn borrowings, 31-Mar-2026</t>
        </is>
      </c>
      <c r="B11" t="n">
        <v>6.21</v>
      </c>
      <c r="C11" t="inlineStr"/>
      <c r="D11" t="inlineStr"/>
      <c r="E11" t="inlineStr">
        <is>
          <t>short-term only; no long-term debt since FY2025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2026-09-04T20:10:51Z</dcterms:created>
  <dcterms:modified xmlns:dcterms="http://purl.org/dc/terms/" xmlns:xsi="http://www.w3.org/2001/XMLSchema-instance" xsi:type="dcterms:W3CDTF">2026-09-04T20:10:51Z</dcterms:modified>
</cp:coreProperties>
</file>