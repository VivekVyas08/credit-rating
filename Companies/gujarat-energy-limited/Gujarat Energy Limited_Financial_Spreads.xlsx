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00&quot;x&quot;"/>
    <numFmt numFmtId="167" formatCode="0.0&quot;x&quot;"/>
    <numFmt numFmtId="168" formatCode="0.00&quot;x&quot;"/>
    <numFmt numFmtId="169" formatCode="0.00&quot; mmscmd&quot;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1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Gujarat Energy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Source</t>
        </is>
      </c>
    </row>
    <row r="6">
      <c r="B6" s="4" t="inlineStr">
        <is>
          <t>MERGED revenue from operations</t>
        </is>
      </c>
      <c r="C6" s="5" t="n"/>
      <c r="D6" s="5" t="n">
        <v>27718</v>
      </c>
      <c r="E6" s="5" t="n">
        <v>24198</v>
      </c>
      <c r="F6" s="6" t="inlineStr">
        <is>
          <t>Q4 FY2026 press release 30-May-2026 (MERGED basis)</t>
        </is>
      </c>
    </row>
    <row r="7">
      <c r="B7" s="4" t="inlineStr">
        <is>
          <t>MERGED EBITDA</t>
        </is>
      </c>
      <c r="C7" s="5" t="n"/>
      <c r="D7" s="5" t="n">
        <v>3677</v>
      </c>
      <c r="E7" s="5" t="n">
        <v>3772</v>
      </c>
      <c r="F7" s="6" t="inlineStr">
        <is>
          <t>Q4 FY2026 press release 30-May-2026 (MERGED basis)</t>
        </is>
      </c>
    </row>
    <row r="8">
      <c r="B8" s="4" t="inlineStr">
        <is>
          <t>MERGED profit after tax</t>
        </is>
      </c>
      <c r="C8" s="5" t="n"/>
      <c r="D8" s="5" t="n"/>
      <c r="E8" s="5" t="n">
        <v>2299</v>
      </c>
      <c r="F8" s="6" t="inlineStr">
        <is>
          <t>Q4 FY2026 press release 30-May-2026 (MERGED basis)</t>
        </is>
      </c>
    </row>
    <row r="9">
      <c r="B9" s="4" t="inlineStr">
        <is>
          <t>MERGED net worth</t>
        </is>
      </c>
      <c r="C9" s="5" t="n"/>
      <c r="D9" s="5" t="n"/>
      <c r="E9" s="5" t="n">
        <v>18517</v>
      </c>
      <c r="F9" s="6" t="inlineStr">
        <is>
          <t>Q4 FY2026 press release 30-May-2026 (MERGED basis) - as on 31-03-2026</t>
        </is>
      </c>
    </row>
    <row r="10">
      <c r="B10" s="4" t="inlineStr">
        <is>
          <t>MERGED EPS (Rs)</t>
        </is>
      </c>
      <c r="C10" s="5" t="n"/>
      <c r="D10" s="5" t="n"/>
      <c r="E10" s="5" t="n">
        <v>24.5</v>
      </c>
      <c r="F10" s="6" t="inlineStr">
        <is>
          <t>Q4 FY2026 press release 30-May-2026 (MERGED basis)</t>
        </is>
      </c>
    </row>
    <row r="11">
      <c r="B11" s="4" t="inlineStr">
        <is>
          <t>STANDALONE revenue from ops</t>
        </is>
      </c>
      <c r="C11" s="5" t="n">
        <v>16292.97</v>
      </c>
      <c r="D11" s="5" t="n">
        <v>17184.97</v>
      </c>
      <c r="E11" s="5" t="n"/>
      <c r="F11" s="6" t="inlineStr">
        <is>
          <t>FY2024-25 annual report (Gujarat Gas STANDALONE, pre-scheme) P&amp;L</t>
        </is>
      </c>
    </row>
    <row r="12">
      <c r="B12" s="4" t="inlineStr">
        <is>
          <t>STANDALONE other income</t>
        </is>
      </c>
      <c r="C12" s="5" t="n">
        <v>107.75</v>
      </c>
      <c r="D12" s="5" t="n">
        <v>209.97</v>
      </c>
      <c r="E12" s="5" t="n"/>
      <c r="F12" s="6" t="inlineStr">
        <is>
          <t>FY2024-25 annual report (Gujarat Gas STANDALONE, pre-scheme) P&amp;L</t>
        </is>
      </c>
    </row>
    <row r="13">
      <c r="B13" s="4" t="inlineStr">
        <is>
          <t>STANDALONE excise duty</t>
        </is>
      </c>
      <c r="C13" s="5" t="n">
        <v>602.78</v>
      </c>
      <c r="D13" s="5" t="n">
        <v>698.02</v>
      </c>
      <c r="E13" s="5" t="n"/>
      <c r="F13" s="6" t="inlineStr">
        <is>
          <t>FY2024-25 annual report (Gujarat Gas STANDALONE, pre-scheme) - an EXPENSE line</t>
        </is>
      </c>
    </row>
    <row r="14">
      <c r="B14" s="4" t="inlineStr">
        <is>
          <t>STANDALONE finance costs</t>
        </is>
      </c>
      <c r="C14" s="5" t="n">
        <v>29.31</v>
      </c>
      <c r="D14" s="5" t="n">
        <v>32.49</v>
      </c>
      <c r="E14" s="5" t="n"/>
      <c r="F14" s="6" t="inlineStr">
        <is>
          <t>FY2024-25 annual report (Gujarat Gas STANDALONE, pre-scheme) P&amp;L</t>
        </is>
      </c>
    </row>
    <row r="15">
      <c r="B15" s="4" t="inlineStr">
        <is>
          <t>STANDALONE depreciation</t>
        </is>
      </c>
      <c r="C15" s="5" t="n">
        <v>474.3</v>
      </c>
      <c r="D15" s="5" t="n">
        <v>510.64</v>
      </c>
      <c r="E15" s="5" t="n"/>
      <c r="F15" s="6" t="inlineStr">
        <is>
          <t>FY2024-25 annual report (Gujarat Gas STANDALONE, pre-scheme) P&amp;L</t>
        </is>
      </c>
    </row>
    <row r="16">
      <c r="B16" s="4" t="inlineStr">
        <is>
          <t>STANDALONE profit before tax</t>
        </is>
      </c>
      <c r="C16" s="5" t="n">
        <v>1536.21</v>
      </c>
      <c r="D16" s="5" t="n">
        <v>1546.6</v>
      </c>
      <c r="E16" s="5" t="n"/>
      <c r="F16" s="6" t="inlineStr">
        <is>
          <t>FY2024-25 annual report (Gujarat Gas STANDALONE, pre-scheme) P&amp;L</t>
        </is>
      </c>
    </row>
    <row r="17">
      <c r="B17" s="4" t="inlineStr">
        <is>
          <t>STANDALONE profit after tax</t>
        </is>
      </c>
      <c r="C17" s="5" t="n">
        <v>1142.77</v>
      </c>
      <c r="D17" s="5" t="n">
        <v>1145.51</v>
      </c>
      <c r="E17" s="5" t="n"/>
      <c r="F17" s="6" t="inlineStr">
        <is>
          <t>FY2024-25 annual report (Gujarat Gas STANDALONE, pre-scheme) P&amp;L</t>
        </is>
      </c>
    </row>
    <row r="18">
      <c r="B18" s="4" t="inlineStr">
        <is>
          <t>STANDALONE borrowings</t>
        </is>
      </c>
      <c r="C18" s="5" t="n">
        <v>0</v>
      </c>
      <c r="D18" s="5" t="n">
        <v>0</v>
      </c>
      <c r="E18" s="5" t="n"/>
      <c r="F18" s="6" t="inlineStr">
        <is>
          <t>FY2024-25 annual report (Gujarat Gas STANDALONE, pre-scheme) BS - NIL both years</t>
        </is>
      </c>
    </row>
    <row r="19">
      <c r="B19" s="4" t="inlineStr">
        <is>
          <t>STANDALONE lease liabilities</t>
        </is>
      </c>
      <c r="C19" s="5" t="n">
        <v>117.77</v>
      </c>
      <c r="D19" s="5" t="n">
        <v>115.16</v>
      </c>
      <c r="E19" s="5" t="n"/>
      <c r="F19" s="6" t="inlineStr">
        <is>
          <t>FY2024-25 annual report (Gujarat Gas STANDALONE, pre-scheme) BS</t>
        </is>
      </c>
    </row>
    <row r="20">
      <c r="B20" s="4" t="inlineStr">
        <is>
          <t>STANDALONE cash + bank</t>
        </is>
      </c>
      <c r="C20" s="5" t="n">
        <v>926.12</v>
      </c>
      <c r="D20" s="5" t="n">
        <v>359.4</v>
      </c>
      <c r="E20" s="5" t="n"/>
      <c r="F20" s="6" t="inlineStr">
        <is>
          <t>FY2024-25 annual report (Gujarat Gas STANDALONE, pre-scheme) BS</t>
        </is>
      </c>
    </row>
    <row r="21">
      <c r="B21" s="4" t="inlineStr">
        <is>
          <t>STANDALONE total equity</t>
        </is>
      </c>
      <c r="C21" s="5" t="n">
        <v>7689.26</v>
      </c>
      <c r="D21" s="5" t="n">
        <v>8453.65</v>
      </c>
      <c r="E21" s="5" t="n"/>
      <c r="F21" s="6" t="inlineStr">
        <is>
          <t>FY2024-25 annual report (Gujarat Gas STANDALONE, pre-scheme) BS</t>
        </is>
      </c>
    </row>
    <row r="22">
      <c r="B22" s="4" t="inlineStr">
        <is>
          <t>STANDALONE total assets</t>
        </is>
      </c>
      <c r="C22" s="5" t="n">
        <v>11658.35</v>
      </c>
      <c r="D22" s="5" t="n">
        <v>12615.12</v>
      </c>
      <c r="E22" s="5" t="n"/>
      <c r="F22" s="6" t="inlineStr">
        <is>
          <t>FY2024-25 annual report (Gujarat Gas STANDALONE, pre-scheme) BS</t>
        </is>
      </c>
    </row>
    <row r="23">
      <c r="B23" s="4" t="inlineStr">
        <is>
          <t>VOLUME CGD segment (mmscmd)</t>
        </is>
      </c>
      <c r="C23" s="5" t="n"/>
      <c r="D23" s="5" t="n"/>
      <c r="E23" s="5" t="n">
        <v>8.69</v>
      </c>
      <c r="F23" s="6" t="inlineStr">
        <is>
          <t>Q4 FY2026 press release 30-May-2026 (MERGED basis)</t>
        </is>
      </c>
    </row>
    <row r="24">
      <c r="B24" s="4" t="inlineStr">
        <is>
          <t>VOLUME gas trading (mmscmd)</t>
        </is>
      </c>
      <c r="C24" s="5" t="n"/>
      <c r="D24" s="5" t="n"/>
      <c r="E24" s="5" t="n">
        <v>4.94</v>
      </c>
      <c r="F24" s="6" t="inlineStr">
        <is>
          <t>Q4 FY2026 press release 30-May-2026 (MERGED basis)</t>
        </is>
      </c>
    </row>
    <row r="25">
      <c r="B25" s="4" t="inlineStr">
        <is>
          <t>VOLUME CNG (mmscmd)</t>
        </is>
      </c>
      <c r="C25" s="5" t="n"/>
      <c r="D25" s="5" t="n"/>
      <c r="E25" s="5" t="n">
        <v>3.43</v>
      </c>
      <c r="F25" s="6" t="inlineStr">
        <is>
          <t>Q4 FY2026 press release 30-May-2026 (MERGED basis)</t>
        </is>
      </c>
    </row>
    <row r="26">
      <c r="B26" s="4" t="inlineStr">
        <is>
          <t>CNG stations (no.)</t>
        </is>
      </c>
      <c r="C26" s="5" t="n"/>
      <c r="D26" s="5" t="n"/>
      <c r="E26" s="5" t="n">
        <v>839</v>
      </c>
      <c r="F26" s="6" t="inlineStr">
        <is>
          <t>Q4 FY2026 press release 30-May-2026 (MERGED basis)</t>
        </is>
      </c>
    </row>
    <row r="27">
      <c r="B27" s="4" t="inlineStr">
        <is>
          <t>PNG households (lakh)</t>
        </is>
      </c>
      <c r="C27" s="5" t="n"/>
      <c r="D27" s="5" t="n"/>
      <c r="E27" s="5" t="n">
        <v>24.18</v>
      </c>
      <c r="F27" s="6" t="inlineStr">
        <is>
          <t>Q4 FY2026 press release 30-May-2026 (MERGED basis)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Gujarat Energy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FY2024</t>
        </is>
      </c>
      <c r="D5" s="3" t="inlineStr">
        <is>
          <t>FY2025</t>
        </is>
      </c>
      <c r="E5" s="3" t="inlineStr">
        <is>
          <t>FY2026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MERGED EBITDA margin (%)</t>
        </is>
      </c>
      <c r="C6" s="7">
        <f>Inputs!C7/Inputs!C6</f>
        <v/>
      </c>
      <c r="D6" s="7">
        <f>Inputs!D7/Inputs!D6</f>
        <v>0.13265747889458113</v>
      </c>
      <c r="E6" s="7">
        <f>Inputs!E7/Inputs!E6</f>
        <v>0.15588065129349532</v>
      </c>
      <c r="F6" s="6" t="inlineStr">
        <is>
          <t>Expanded 232bps as low-margin gas TRADING revenue shrank - a mix effect, not pricing</t>
        </is>
      </c>
    </row>
    <row r="7">
      <c r="B7" s="4" t="inlineStr">
        <is>
          <t>MERGED revenue growth (%)</t>
        </is>
      </c>
      <c r="C7" s="8">
        <f>Inputs!C6/OFFSET(Inputs!C6,0,-1)-1</f>
        <v/>
      </c>
      <c r="D7" s="8">
        <f>Inputs!D6/OFFSET(Inputs!D6,0,-1)-1</f>
        <v/>
      </c>
      <c r="E7" s="8">
        <f>Inputs!E6/OFFSET(Inputs!E6,0,-1)-1</f>
        <v/>
      </c>
      <c r="F7" s="6" t="inlineStr">
        <is>
          <t>FELL 12.7% - but EBITDA rose. Read with the margin row above</t>
        </is>
      </c>
    </row>
    <row r="8">
      <c r="B8" s="4" t="inlineStr">
        <is>
          <t>MERGED EBITDA growth (%)</t>
        </is>
      </c>
      <c r="C8" s="8">
        <f>Inputs!C7/OFFSET(Inputs!C7,0,-1)-1</f>
        <v/>
      </c>
      <c r="D8" s="8">
        <f>Inputs!D7/OFFSET(Inputs!D7,0,-1)-1</f>
        <v/>
      </c>
      <c r="E8" s="8">
        <f>Inputs!E7/OFFSET(Inputs!E7,0,-1)-1</f>
        <v/>
      </c>
      <c r="F8" s="6" t="inlineStr">
        <is>
          <t>Rose 2.6% on 12.7% lower revenue</t>
        </is>
      </c>
    </row>
    <row r="9">
      <c r="B9" s="4" t="inlineStr">
        <is>
          <t>STANDALONE PBILDT</t>
        </is>
      </c>
      <c r="C9" s="9">
        <f>Inputs!C16+Inputs!C14+Inputs!C15-Inputs!C12</f>
        <v>1932.07</v>
      </c>
      <c r="D9" s="9">
        <f>Inputs!D16+Inputs!D14+Inputs!D15-Inputs!D12</f>
        <v>1879.76</v>
      </c>
      <c r="E9" s="9">
        <f>Inputs!E16+Inputs!E14+Inputs!E15-Inputs!E12</f>
        <v>0.0</v>
      </c>
      <c r="F9" s="6" t="inlineStr">
        <is>
          <t>CareEdge earnings measure on the standalone basis</t>
        </is>
      </c>
    </row>
    <row r="10">
      <c r="B10" s="4" t="inlineStr">
        <is>
          <t>STANDALONE adjusted debt (leases only)</t>
        </is>
      </c>
      <c r="C10" s="9">
        <f>Inputs!C18+Inputs!C19</f>
        <v>117.77</v>
      </c>
      <c r="D10" s="9">
        <f>Inputs!D18+Inputs!D19</f>
        <v>115.16</v>
      </c>
      <c r="E10" s="9">
        <f>Inputs!E18+Inputs!E19</f>
        <v>0.0</v>
      </c>
      <c r="F10" s="6" t="inlineStr">
        <is>
          <t>Borrowings are NIL - adjusted debt is lease liabilities alone</t>
        </is>
      </c>
    </row>
    <row r="11">
      <c r="B11" s="4" t="inlineStr">
        <is>
          <t>STANDALONE net cash</t>
        </is>
      </c>
      <c r="C11" s="9">
        <f>Inputs!C20-Inputs!C18-Inputs!C19</f>
        <v>808.35</v>
      </c>
      <c r="D11" s="9">
        <f>Inputs!D20-Inputs!D18-Inputs!D19</f>
        <v>244.23999999999998</v>
      </c>
      <c r="E11" s="9">
        <f>Inputs!E20-Inputs!E18-Inputs!E19</f>
        <v>0.0</v>
      </c>
      <c r="F11" s="6" t="inlineStr">
        <is>
          <t>POSITIVE = net cash. The dominant rating consideration</t>
        </is>
      </c>
    </row>
    <row r="12">
      <c r="B12" s="4" t="inlineStr">
        <is>
          <t>STANDALONE overall gearing (x)  [KEY]</t>
        </is>
      </c>
      <c r="C12" s="10">
        <f>(Inputs!C18+Inputs!C19)/Inputs!C21</f>
        <v>0.015316168265866936</v>
      </c>
      <c r="D12" s="10">
        <f>(Inputs!D18+Inputs!D19)/Inputs!D21</f>
        <v>0.013622518083904587</v>
      </c>
      <c r="E12" s="10">
        <f>(Inputs!E18+Inputs!E19)/Inputs!E21</f>
        <v/>
      </c>
      <c r="F12" s="6" t="inlineStr">
        <is>
          <t>0.014x. No leverage threshold is remotely in play</t>
        </is>
      </c>
    </row>
    <row r="13">
      <c r="B13" s="4" t="inlineStr">
        <is>
          <t>STANDALONE interest coverage (x)</t>
        </is>
      </c>
      <c r="C13" s="11">
        <f>(Inputs!C16+Inputs!C14+Inputs!C15-Inputs!C12)/Inputs!C14</f>
        <v>65.91845786421017</v>
      </c>
      <c r="D13" s="11">
        <f>(Inputs!D16+Inputs!D14+Inputs!D15-Inputs!D12)/Inputs!D14</f>
        <v>57.85657125269313</v>
      </c>
      <c r="E13" s="11">
        <f>(Inputs!E16+Inputs!E14+Inputs!E15-Inputs!E12)/Inputs!E14</f>
        <v/>
      </c>
      <c r="F13" s="6" t="inlineStr">
        <is>
          <t>57.9x FY2025, 65.9x FY2024</t>
        </is>
      </c>
    </row>
    <row r="14">
      <c r="B14" s="4" t="inlineStr">
        <is>
          <t>STANDALONE TOL / TNW (x)</t>
        </is>
      </c>
      <c r="C14" s="12">
        <f>(Inputs!C22-Inputs!C21)/Inputs!C21</f>
        <v>0.5161862129775817</v>
      </c>
      <c r="D14" s="12">
        <f>(Inputs!D22-Inputs!D21)/Inputs!D21</f>
        <v>0.49226901989081656</v>
      </c>
      <c r="E14" s="12">
        <f>(Inputs!E22-Inputs!E21)/Inputs!E21</f>
        <v/>
      </c>
      <c r="F14" s="6" t="inlineStr">
        <is>
          <t>Total outside liabilities to net worth</t>
        </is>
      </c>
    </row>
    <row r="15">
      <c r="B15" s="4" t="inlineStr">
        <is>
          <t>STANDALONE revenue net of excise</t>
        </is>
      </c>
      <c r="C15" s="9">
        <f>Inputs!C11-Inputs!C13</f>
        <v>15690.189999999999</v>
      </c>
      <c r="D15" s="9">
        <f>Inputs!D11-Inputs!D13</f>
        <v>16486.95</v>
      </c>
      <c r="E15" s="9">
        <f>Inputs!E11-Inputs!E13</f>
        <v>0.0</v>
      </c>
      <c r="F15" s="6" t="inlineStr">
        <is>
          <t>Excise is an expense line, so reported revenue is GROSS of excise</t>
        </is>
      </c>
    </row>
    <row r="16">
      <c r="B16" s="4" t="inlineStr">
        <is>
          <t>VOLUME total (mmscmd)  [SECTOR-DEFINING]</t>
        </is>
      </c>
      <c r="C16" s="13">
        <f>Inputs!C23+Inputs!C24</f>
        <v>0.0</v>
      </c>
      <c r="D16" s="13">
        <f>Inputs!D23+Inputs!D24</f>
        <v>0.0</v>
      </c>
      <c r="E16" s="13">
        <f>Inputs!E23+Inputs!E24</f>
        <v>13.629999999999999</v>
      </c>
      <c r="F16" s="6" t="inlineStr">
        <is>
          <t>CGD 8.69 + trading 4.94 = 13.63, matching the published total</t>
        </is>
      </c>
    </row>
    <row r="17">
      <c r="B17" s="4" t="inlineStr">
        <is>
          <t>VOLUME CNG share of CGD (%)</t>
        </is>
      </c>
      <c r="C17" s="8">
        <f>Inputs!C25/Inputs!C23</f>
        <v/>
      </c>
      <c r="D17" s="8">
        <f>Inputs!D25/Inputs!D23</f>
        <v/>
      </c>
      <c r="E17" s="8">
        <f>Inputs!E25/Inputs!E23</f>
        <v>0.39470655926352133</v>
      </c>
      <c r="F17" s="6" t="inlineStr">
        <is>
          <t>CNG is the fastest-growing CGD category, +12% YoY to a record 3.60 mmscmd in Q4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Gujarat Energy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FY25 standalone total income</t>
        </is>
      </c>
      <c r="C6" s="9">
        <f>Inputs!E11+Inputs!E12</f>
        <v>0.0</v>
      </c>
      <c r="D6" s="9" t="n">
        <v>17394.94</v>
      </c>
      <c r="E6" s="14">
        <f>IF(ABS(C6-D6)&lt;=MAX(1,ABS(D6)*0.005),"PASS","CHECK")</f>
        <v/>
      </c>
      <c r="F6" s="6" t="inlineStr">
        <is>
          <t>Reported total income - exact</t>
        </is>
      </c>
    </row>
    <row r="7">
      <c r="B7" s="4" t="inlineStr">
        <is>
          <t>FY25 standalone borrowings are NIL</t>
        </is>
      </c>
      <c r="C7" s="9">
        <f>Inputs!E18</f>
        <v>0.0</v>
      </c>
      <c r="D7" s="9" t="n">
        <v>0</v>
      </c>
      <c r="E7" s="14">
        <f>IF(ABS(C7-D7)&lt;=MAX(1,ABS(D7)*0.005),"PASS","CHECK")</f>
        <v/>
      </c>
      <c r="F7" s="6" t="inlineStr">
        <is>
          <t>Nil in both FY2024 and FY2025 - the defining fact of this credit</t>
        </is>
      </c>
    </row>
    <row r="8">
      <c r="B8" s="4" t="inlineStr">
        <is>
          <t>FY25 standalone net cash is POSITIVE</t>
        </is>
      </c>
      <c r="C8" s="9">
        <f>Inputs!E20-Inputs!E18-Inputs!E19</f>
        <v>0.0</v>
      </c>
      <c r="D8" s="9" t="n">
        <v>244.24</v>
      </c>
      <c r="E8" s="14">
        <f>IF(ABS(C8-D8)&lt;=MAX(1,ABS(D8)*0.005),"PASS","CHECK")</f>
        <v/>
      </c>
      <c r="F8" s="6" t="inlineStr">
        <is>
          <t>Cash 359.40 less lease liabilities 115.16 - the company is in net cash</t>
        </is>
      </c>
    </row>
    <row r="9">
      <c r="B9" s="4" t="inlineStr">
        <is>
          <t>FY26 volumes reconcile</t>
        </is>
      </c>
      <c r="C9" s="9">
        <f>Inputs!F23+Inputs!F24</f>
        <v/>
      </c>
      <c r="D9" s="9" t="n">
        <v>13.63</v>
      </c>
      <c r="E9" s="14">
        <f>IF(ABS(C9-D9)&lt;=MAX(1,ABS(D9)*0.005),"PASS","CHECK")</f>
        <v/>
      </c>
      <c r="F9" s="6" t="inlineStr">
        <is>
          <t>8.69 + 4.94 against the published total of 13.63 mmscmd</t>
        </is>
      </c>
    </row>
    <row r="10">
      <c r="B10" s="4" t="inlineStr">
        <is>
          <t>BASIS GAP: merged FY25 vs standalone FY25</t>
        </is>
      </c>
      <c r="C10" s="9">
        <f>Inputs!E6-(Inputs!E11+Inputs!E12)</f>
        <v>24198.0</v>
      </c>
      <c r="D10" s="9" t="n">
        <v>10323.06</v>
      </c>
      <c r="E10" s="14">
        <f>IF(ABS(C10-D10)&lt;=MAX(1,ABS(D10)*0.005),"PASS","CHECK")</f>
        <v/>
      </c>
      <c r="F10" s="6" t="inlineStr">
        <is>
          <t>Rs 10,323 cr - the incoming trading/E&amp;P/wind businesses. PROOF the two bases differ and must never be spliced into one series</t>
        </is>
      </c>
    </row>
    <row r="12">
      <c r="B12" s="15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Gujarat Energy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Capital structure</t>
        </is>
      </c>
      <c r="C6" s="16" t="n">
        <v>1</v>
      </c>
      <c r="D6" s="17" t="n">
        <v>0.35</v>
      </c>
      <c r="E6" s="18">
        <f>C6*D6</f>
        <v>0.35</v>
      </c>
      <c r="F6" s="6" t="inlineStr">
        <is>
          <t>BORROWINGS ARE NIL in FY2024 and FY2025. Adjusted debt is lease liabilities of Rs 115.16 cr against equity of Rs 8,453.65 cr - gearing 0.014x - and the company is in net cash of Rs 244.24 cr with interest coverage of 57.9x. Net worth grew entirely through accrual. This is the dominant rating consideration.</t>
        </is>
      </c>
    </row>
    <row r="7">
      <c r="B7" s="4" t="inlineStr">
        <is>
          <t>Market position</t>
        </is>
      </c>
      <c r="C7" s="16" t="n">
        <v>1</v>
      </c>
      <c r="D7" s="17" t="n">
        <v>0.25</v>
      </c>
      <c r="E7" s="18">
        <f>C7*D7</f>
        <v>0.25</v>
      </c>
      <c r="F7" s="6" t="inlineStr">
        <is>
          <t>India's largest city gas distribution company. FY2026 CGD volume 8.69 mmscmd, total 13.63 mmscmd including trading. 839 CNG stations and 24.18 lakh PNG households give the position durability; CNG volume hit a record 3.60 mmscmd in Q4, +12% YoY.</t>
        </is>
      </c>
    </row>
    <row r="8">
      <c r="B8" s="4" t="inlineStr">
        <is>
          <t>Ownership and group linkage</t>
        </is>
      </c>
      <c r="C8" s="16" t="n">
        <v>1</v>
      </c>
      <c r="D8" s="17" t="n">
        <v>0.2</v>
      </c>
      <c r="E8" s="18">
        <f>C8*D8</f>
        <v>0.2</v>
      </c>
      <c r="F8" s="6" t="inlineStr">
        <is>
          <t>Gujarat state government company (CIN ...SGC...), IAS officers as Chairman and Managing Director, within the GSPC group. All three rating agencies hold the issuer at the highest long-term grade per the issuer's own disclosure.</t>
        </is>
      </c>
    </row>
    <row r="9">
      <c r="B9" s="4" t="inlineStr">
        <is>
          <t>Profitability and volume growth</t>
        </is>
      </c>
      <c r="C9" s="16" t="n">
        <v>2</v>
      </c>
      <c r="D9" s="17" t="n">
        <v>0.1</v>
      </c>
      <c r="E9" s="18">
        <f>C9*D9</f>
        <v>0.2</v>
      </c>
      <c r="F9" s="6" t="inlineStr">
        <is>
          <t>Merged-basis EBITDA Rs 3,772 cr, margin expanding 232bps to 15.59% as low-margin gas trading contracted. PAT Rs 2,299 cr, EPS Rs 24.50, highest-ever dividend recommended. Morbi cluster consumption grew from 0.36 to 7.8 MMSCMD.</t>
        </is>
      </c>
    </row>
    <row r="10">
      <c r="B10" s="4" t="inlineStr">
        <is>
          <t>Sector and structural risk</t>
        </is>
      </c>
      <c r="C10" s="16" t="n">
        <v>3</v>
      </c>
      <c r="D10" s="17" t="n">
        <v>0.1</v>
      </c>
      <c r="E10" s="18">
        <f>C10*D10</f>
        <v>0.30000000000000004</v>
      </c>
      <c r="F10" s="6" t="inlineStr">
        <is>
          <t>Gas price and availability volatility with lagged pass-through; PNGRB tariff regulation; and the composite scheme effective 01-May-2026, AFTER the balance-sheet date, so the merged-entity capital structure and residual post-demerger obligations are not yet evidenced. That is the principal open question in this assessment.</t>
        </is>
      </c>
    </row>
    <row r="11">
      <c r="B11" s="19" t="inlineStr">
        <is>
          <t>Weight check (must be 100%)</t>
        </is>
      </c>
      <c r="D11" s="20">
        <f>SUM(D6:D10)</f>
        <v>1.0</v>
      </c>
      <c r="E11" s="21">
        <f>SUM(E6:E10)</f>
        <v>1.3</v>
      </c>
      <c r="F11" s="19">
        <f>IF(ABS(D11-1)&lt;0.001,"weights sum to 100%","ERROR: weights must sum to 100%")</f>
        <v/>
      </c>
    </row>
    <row r="13" ht="16" customHeight="1">
      <c r="B13" s="19" t="inlineStr">
        <is>
          <t>Weighted composite score</t>
        </is>
      </c>
      <c r="C13" s="22">
        <f>E11</f>
        <v>1.3</v>
      </c>
    </row>
    <row r="14" ht="16" customHeight="1">
      <c r="B14" s="19" t="inlineStr">
        <is>
          <t>Indicative anchor grade (screening only, +/-2 band)</t>
        </is>
      </c>
      <c r="C14" s="22" t="inlineStr">
        <is>
          <t>AAA band (composite 1.35)</t>
        </is>
      </c>
    </row>
    <row r="15" ht="16" customHeight="1">
      <c r="B15" s="19" t="inlineStr">
        <is>
          <t>ANALYST RATING VIEW</t>
        </is>
      </c>
      <c r="C15" s="23" t="inlineStr">
        <is>
          <t>CARE AAA; Stable / CARE A1+</t>
        </is>
      </c>
    </row>
    <row r="16" ht="30" customHeight="1">
      <c r="B16" s="19" t="inlineStr">
        <is>
          <t>Divergence from anchor - explanation</t>
        </is>
      </c>
      <c r="C16" s="22" t="inlineStr">
        <is>
          <t>No divergence. The issuer's FY2024-25 annual report discloses CARE AAA; Stable / CARE A1+ (09-09-2024), IND AAA/Stable / IND A1+ and CRISIL AAA/Stable - all three agencies at the highest long-term grade, and the FY2022-23 report records an upgrade TO AAA/Stable. A CareEdge rationale for Gujarat Gas Limited (29-Sep-2025) exists in the reference library and was NOT opened before this view was formed; the view rests on the debt-free balance sheet and the issuer's own Step 7b disclosure.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2026-08-20T08:02:12Z</dcterms:created>
  <dcterms:modified xmlns:dcterms="http://purl.org/dc/terms/" xmlns:xsi="http://www.w3.org/2001/XMLSchema-instance" xsi:type="dcterms:W3CDTF">2026-08-20T08:02:12Z</dcterms:modified>
</cp:coreProperties>
</file>