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RatioSuite" sheetId="2" state="visible" r:id="rId2"/>
    <sheet xmlns:r="http://schemas.openxmlformats.org/officeDocument/2006/relationships" name="TieOut" sheetId="3" state="visible" r:id="rId3"/>
    <sheet xmlns:r="http://schemas.openxmlformats.org/officeDocument/2006/relationships" name="RatingScore" sheetId="4" state="visible" r:id="rId4"/>
  </sheets>
  <definedNames/>
  <calcPr calcId="999999" fullCalcOnLoad="1"/>
</workbook>
</file>

<file path=xl/styles.xml><?xml version="1.0" encoding="utf-8"?>
<styleSheet xmlns="http://schemas.openxmlformats.org/spreadsheetml/2006/main">
  <numFmts count="2">
    <numFmt numFmtId="164" formatCode="#,##0.0"/>
    <numFmt numFmtId="165" formatCode="0.0"/>
  </numFmts>
  <fonts count="7">
    <font>
      <name val="Calibri"/>
      <family val="2"/>
      <color theme="1"/>
      <sz val="11"/>
      <scheme val="minor"/>
    </font>
    <font>
      <b val="1"/>
      <color rgb="001B2A4A"/>
      <sz val="13"/>
    </font>
    <font>
      <i val="1"/>
      <color rgb="00666666"/>
      <sz val="9"/>
    </font>
    <font>
      <b val="1"/>
      <color rgb="00FFFFFF"/>
    </font>
    <font>
      <b val="1"/>
    </font>
    <font/>
    <font>
      <b val="1"/>
      <color rgb="000E7C86"/>
    </font>
  </fonts>
  <fills count="4">
    <fill>
      <patternFill/>
    </fill>
    <fill>
      <patternFill patternType="gray125"/>
    </fill>
    <fill>
      <patternFill patternType="solid">
        <fgColor rgb="001B2A4A"/>
      </patternFill>
    </fill>
    <fill>
      <patternFill patternType="solid">
        <fgColor rgb="00FFF9E6"/>
      </patternFill>
    </fill>
  </fills>
  <borders count="2">
    <border>
      <left/>
      <right/>
      <top/>
      <bottom/>
      <diagonal/>
    </border>
    <border>
      <left style="thin">
        <color rgb="00D6DEE8"/>
      </left>
      <right style="thin">
        <color rgb="00D6DEE8"/>
      </right>
      <top style="thin">
        <color rgb="00D6DEE8"/>
      </top>
      <bottom style="thin">
        <color rgb="00D6DEE8"/>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wrapText="1"/>
    </xf>
    <xf numFmtId="0" fontId="0" fillId="0" borderId="1" pivotButton="0" quotePrefix="0" xfId="0"/>
    <xf numFmtId="164" fontId="0" fillId="3" borderId="1" pivotButton="0" quotePrefix="0" xfId="0"/>
    <xf numFmtId="0" fontId="2" fillId="0" borderId="1" applyAlignment="1" pivotButton="0" quotePrefix="0" xfId="0">
      <alignment vertical="top" wrapText="1"/>
    </xf>
    <xf numFmtId="164" fontId="0" fillId="0" borderId="1" pivotButton="0" quotePrefix="0" xfId="0"/>
    <xf numFmtId="2" fontId="0" fillId="0" borderId="1" pivotButton="0" quotePrefix="0" xfId="0"/>
    <xf numFmtId="165" fontId="0" fillId="0" borderId="1" pivotButton="0" quotePrefix="0" xfId="0"/>
    <xf numFmtId="4" fontId="0" fillId="0" borderId="1" pivotButton="0" quotePrefix="0" xfId="0"/>
    <xf numFmtId="0" fontId="4" fillId="0" borderId="1" applyAlignment="1" pivotButton="0" quotePrefix="0" xfId="0">
      <alignment horizontal="center"/>
    </xf>
    <xf numFmtId="0" fontId="2" fillId="0" borderId="0" pivotButton="0" quotePrefix="0" xfId="0"/>
    <xf numFmtId="0" fontId="0" fillId="3" borderId="1" applyAlignment="1" pivotButton="0" quotePrefix="0" xfId="0">
      <alignment horizontal="center"/>
    </xf>
    <xf numFmtId="9" fontId="0" fillId="3" borderId="1" pivotButton="0" quotePrefix="0" xfId="0"/>
    <xf numFmtId="0" fontId="4" fillId="0" borderId="0" pivotButton="0" quotePrefix="0" xfId="0"/>
    <xf numFmtId="9" fontId="4" fillId="0" borderId="0" pivotButton="0" quotePrefix="0" xfId="0"/>
    <xf numFmtId="2" fontId="4"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5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2" max="2"/>
    <col width="14" customWidth="1" min="3" max="3"/>
    <col width="14" customWidth="1" min="4" max="4"/>
    <col width="14" customWidth="1" min="5" max="5"/>
    <col width="14" customWidth="1" min="6" max="6"/>
    <col width="64" customWidth="1" min="7" max="7"/>
  </cols>
  <sheetData>
    <row r="2">
      <c r="B2" s="1" t="inlineStr">
        <is>
          <t>Balkrishna Industries Limited - extracted line items (Consolidated, Rs crore)</t>
        </is>
      </c>
    </row>
    <row r="3" ht="42" customHeight="1">
      <c r="B3" s="2" t="inlineStr">
        <is>
          <t>Yellow cells are EXTRACTED INPUTS traced to the source in the final column - nothing here is computed. Every downstream ratio references this sheet, so correcting a value here reflows the entire workbook.</t>
        </is>
      </c>
    </row>
    <row r="5">
      <c r="B5" s="3" t="inlineStr">
        <is>
          <t>Line item</t>
        </is>
      </c>
      <c r="C5" s="3" t="inlineStr">
        <is>
          <t>FY2023</t>
        </is>
      </c>
      <c r="D5" s="3" t="inlineStr">
        <is>
          <t>FY2024</t>
        </is>
      </c>
      <c r="E5" s="3" t="inlineStr">
        <is>
          <t>FY2025</t>
        </is>
      </c>
      <c r="F5" s="3" t="inlineStr">
        <is>
          <t>FY2026</t>
        </is>
      </c>
      <c r="G5" s="3" t="inlineStr">
        <is>
          <t>Source</t>
        </is>
      </c>
    </row>
    <row r="6">
      <c r="B6" s="4" t="inlineStr">
        <is>
          <t>--- PROFIT AND LOSS ---</t>
        </is>
      </c>
      <c r="C6" s="5" t="inlineStr"/>
      <c r="D6" s="5" t="inlineStr"/>
      <c r="E6" s="5" t="inlineStr"/>
      <c r="F6" s="5" t="inlineStr"/>
      <c r="G6" s="6" t="inlineStr"/>
    </row>
    <row r="7">
      <c r="B7" s="4" t="inlineStr">
        <is>
          <t>Revenue from operations</t>
        </is>
      </c>
      <c r="C7" s="5" t="n">
        <v>9759.530000000001</v>
      </c>
      <c r="D7" s="5" t="n">
        <v>9368.870000000001</v>
      </c>
      <c r="E7" s="5" t="n">
        <v>10446.95</v>
      </c>
      <c r="F7" s="5" t="n">
        <v>10823.08</v>
      </c>
      <c r="G7"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8">
      <c r="B8" s="4" t="inlineStr">
        <is>
          <t>Other income</t>
        </is>
      </c>
      <c r="C8" s="5" t="n">
        <v>346.53</v>
      </c>
      <c r="D8" s="5" t="n">
        <v>449.22</v>
      </c>
      <c r="E8" s="5" t="n">
        <v>538.79</v>
      </c>
      <c r="F8" s="5" t="n">
        <v>251.83</v>
      </c>
      <c r="G8"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9">
      <c r="B9" s="4" t="inlineStr">
        <is>
          <t>Total income</t>
        </is>
      </c>
      <c r="C9" s="5" t="n">
        <v>10106.06</v>
      </c>
      <c r="D9" s="5" t="n">
        <v>9818.09</v>
      </c>
      <c r="E9" s="5" t="n">
        <v>10985.74</v>
      </c>
      <c r="F9" s="5" t="n">
        <v>11074.91</v>
      </c>
      <c r="G9"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0">
      <c r="B10" s="4" t="inlineStr">
        <is>
          <t>Cost of materials consumed</t>
        </is>
      </c>
      <c r="C10" s="5" t="n">
        <v>4804.19</v>
      </c>
      <c r="D10" s="5" t="n">
        <v>4404.45</v>
      </c>
      <c r="E10" s="5" t="n">
        <v>4985.43</v>
      </c>
      <c r="F10" s="5" t="n">
        <v>5140.88</v>
      </c>
      <c r="G10"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1">
      <c r="B11" s="4" t="inlineStr">
        <is>
          <t>Purchases of stock-in-trade</t>
        </is>
      </c>
      <c r="C11" s="5" t="n">
        <v>106.25</v>
      </c>
      <c r="D11" s="5" t="n">
        <v>119.85</v>
      </c>
      <c r="E11" s="5" t="n">
        <v>135.63</v>
      </c>
      <c r="F11" s="5" t="n">
        <v>165.86</v>
      </c>
      <c r="G11"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2">
      <c r="B12" s="4" t="inlineStr">
        <is>
          <t>Change in inventories (+ build, - draw)</t>
        </is>
      </c>
      <c r="C12" s="5" t="n">
        <v>4.87</v>
      </c>
      <c r="D12" s="5" t="n">
        <v>-32.88</v>
      </c>
      <c r="E12" s="5" t="n">
        <v>-60.6</v>
      </c>
      <c r="F12" s="5" t="n">
        <v>-79.59</v>
      </c>
      <c r="G12"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3">
      <c r="B13" s="4" t="inlineStr">
        <is>
          <t>Employee benefits expense</t>
        </is>
      </c>
      <c r="C13" s="5" t="n">
        <v>459.43</v>
      </c>
      <c r="D13" s="5" t="n">
        <v>499.51</v>
      </c>
      <c r="E13" s="5" t="n">
        <v>554.36</v>
      </c>
      <c r="F13" s="5" t="n">
        <v>596.1900000000001</v>
      </c>
      <c r="G13"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4">
      <c r="B14" s="4" t="inlineStr">
        <is>
          <t>Finance costs</t>
        </is>
      </c>
      <c r="C14" s="5" t="n">
        <v>48.04</v>
      </c>
      <c r="D14" s="5" t="n">
        <v>112.87</v>
      </c>
      <c r="E14" s="5" t="n">
        <v>128.34</v>
      </c>
      <c r="F14" s="5" t="n">
        <v>133.62</v>
      </c>
      <c r="G14"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5">
      <c r="B15" s="4" t="inlineStr">
        <is>
          <t>Depreciation and amortisation</t>
        </is>
      </c>
      <c r="C15" s="5" t="n">
        <v>570.8099999999999</v>
      </c>
      <c r="D15" s="5" t="n">
        <v>650.72</v>
      </c>
      <c r="E15" s="5" t="n">
        <v>680.66</v>
      </c>
      <c r="F15" s="5" t="n">
        <v>774.96</v>
      </c>
      <c r="G15"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6">
      <c r="B16" s="4" t="inlineStr">
        <is>
          <t>Other expenses</t>
        </is>
      </c>
      <c r="C16" s="5" t="n">
        <v>2677.68</v>
      </c>
      <c r="D16" s="5" t="n">
        <v>2122.57</v>
      </c>
      <c r="E16" s="5" t="n">
        <v>2374.53</v>
      </c>
      <c r="F16" s="5" t="n">
        <v>2699.31</v>
      </c>
      <c r="G16"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7">
      <c r="B17" s="4" t="inlineStr">
        <is>
          <t xml:space="preserve">  of which NON-OPERATING, added back to OPBDITA</t>
        </is>
      </c>
      <c r="C17" s="5" t="n">
        <v>0</v>
      </c>
      <c r="D17" s="5" t="n">
        <v>0</v>
      </c>
      <c r="E17" s="5" t="n">
        <v>0</v>
      </c>
      <c r="F17" s="5" t="n">
        <v>290.01</v>
      </c>
      <c r="G17" s="6" t="inlineStr">
        <is>
          <t>FY2025-26 AR consolidated Other Expenses note: 'Net Loss on foreign currency transaction and translation' Rs 290.01 cr (FY2026; nil FY2025). Surfaced by preflight probe [0c]. In FY2024/FY2025 the SAME item was a net GAIN and sat in OTHER INCOME instead (FY2025 Rs 267.36 cr) - already stripped by the '- other income' term, so no add-back arises. That migration between notes with the item's sign is failure mode 36.</t>
        </is>
      </c>
    </row>
    <row r="18">
      <c r="B18" s="4" t="inlineStr">
        <is>
          <t>Total expenses</t>
        </is>
      </c>
      <c r="C18" s="5" t="n">
        <v>8671.27</v>
      </c>
      <c r="D18" s="5" t="n">
        <v>7877.09</v>
      </c>
      <c r="E18" s="5" t="n">
        <v>8798.35</v>
      </c>
      <c r="F18" s="5" t="n">
        <v>9431.23</v>
      </c>
      <c r="G18"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19">
      <c r="B19" s="4" t="inlineStr">
        <is>
          <t>Profit before tax</t>
        </is>
      </c>
      <c r="C19" s="5" t="n">
        <v>1434.79</v>
      </c>
      <c r="D19" s="5" t="n">
        <v>1941</v>
      </c>
      <c r="E19" s="5" t="n">
        <v>2187.39</v>
      </c>
      <c r="F19" s="5" t="n">
        <v>1643.68</v>
      </c>
      <c r="G19"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0">
      <c r="B20" s="4" t="inlineStr">
        <is>
          <t>Tax expense</t>
        </is>
      </c>
      <c r="C20" s="5" t="n">
        <v>377.39</v>
      </c>
      <c r="D20" s="5" t="n">
        <v>469.51</v>
      </c>
      <c r="E20" s="5" t="n">
        <v>532.4299999999999</v>
      </c>
      <c r="F20" s="5" t="n">
        <v>400.58</v>
      </c>
      <c r="G20"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1">
      <c r="B21" s="4" t="inlineStr">
        <is>
          <t>Profit after tax</t>
        </is>
      </c>
      <c r="C21" s="5" t="n">
        <v>1057.4</v>
      </c>
      <c r="D21" s="5" t="n">
        <v>1471.49</v>
      </c>
      <c r="E21" s="5" t="n">
        <v>1654.96</v>
      </c>
      <c r="F21" s="5" t="n">
        <v>1243.1</v>
      </c>
      <c r="G21"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2">
      <c r="B22" s="4" t="inlineStr">
        <is>
          <t>Earnings per share (Rs)</t>
        </is>
      </c>
      <c r="C22" s="5" t="n">
        <v>54.7</v>
      </c>
      <c r="D22" s="5" t="n">
        <v>76.12</v>
      </c>
      <c r="E22" s="5" t="n">
        <v>85.61</v>
      </c>
      <c r="F22" s="5" t="n">
        <v>64.3</v>
      </c>
      <c r="G22"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3">
      <c r="B23" s="4" t="inlineStr">
        <is>
          <t>--- BALANCE SHEET ---</t>
        </is>
      </c>
      <c r="C23" s="5" t="inlineStr"/>
      <c r="D23" s="5" t="inlineStr"/>
      <c r="E23" s="5" t="inlineStr"/>
      <c r="F23" s="5" t="inlineStr"/>
      <c r="G23" s="6" t="inlineStr"/>
    </row>
    <row r="24">
      <c r="B24" s="4" t="inlineStr">
        <is>
          <t>Total assets</t>
        </is>
      </c>
      <c r="C24" s="5" t="n">
        <v>12347.66</v>
      </c>
      <c r="D24" s="5" t="n">
        <v>13684.54</v>
      </c>
      <c r="E24" s="5" t="n">
        <v>15634.66</v>
      </c>
      <c r="F24" s="5" t="n">
        <v>17766.34</v>
      </c>
      <c r="G24"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5">
      <c r="B25" s="4" t="inlineStr">
        <is>
          <t>Total equity</t>
        </is>
      </c>
      <c r="C25" s="5" t="n">
        <v>7556.93</v>
      </c>
      <c r="D25" s="5" t="n">
        <v>8853.82</v>
      </c>
      <c r="E25" s="5" t="n">
        <v>10387.6</v>
      </c>
      <c r="F25" s="5" t="n">
        <v>10955.29</v>
      </c>
      <c r="G25"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6">
      <c r="B26" s="4" t="inlineStr">
        <is>
          <t>NC borrowings</t>
        </is>
      </c>
      <c r="C26" s="5" t="n">
        <v>1038.09</v>
      </c>
      <c r="D26" s="5" t="n">
        <v>691.4400000000001</v>
      </c>
      <c r="E26" s="5" t="n">
        <v>387.3</v>
      </c>
      <c r="F26" s="5" t="n">
        <v>888</v>
      </c>
      <c r="G26"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7">
      <c r="B27" s="4" t="inlineStr">
        <is>
          <t>NC lease liabilities</t>
        </is>
      </c>
      <c r="C27" s="5" t="n">
        <v>4.74</v>
      </c>
      <c r="D27" s="5" t="n">
        <v>4.01</v>
      </c>
      <c r="E27" s="5" t="n">
        <v>4.55</v>
      </c>
      <c r="F27" s="5" t="n">
        <v>4.07</v>
      </c>
      <c r="G27"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8">
      <c r="B28" s="4" t="inlineStr">
        <is>
          <t>Deferred tax liabilities</t>
        </is>
      </c>
      <c r="C28" s="5" t="n">
        <v>241.85</v>
      </c>
      <c r="D28" s="5" t="n">
        <v>349</v>
      </c>
      <c r="E28" s="5" t="n">
        <v>456.3</v>
      </c>
      <c r="F28" s="5" t="n">
        <v>316.84</v>
      </c>
      <c r="G28"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29">
      <c r="B29" s="4" t="inlineStr">
        <is>
          <t>Total non-current liabilities</t>
        </is>
      </c>
      <c r="C29" s="5" t="n">
        <v>1441.46</v>
      </c>
      <c r="D29" s="5" t="n">
        <v>1170.28</v>
      </c>
      <c r="E29" s="5" t="n">
        <v>1020.41</v>
      </c>
      <c r="F29" s="5" t="n">
        <v>1722.05</v>
      </c>
      <c r="G29"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0">
      <c r="B30" s="4" t="inlineStr">
        <is>
          <t>C borrowings</t>
        </is>
      </c>
      <c r="C30" s="5" t="n">
        <v>2303.66</v>
      </c>
      <c r="D30" s="5" t="n">
        <v>2403.99</v>
      </c>
      <c r="E30" s="5" t="n">
        <v>2875.25</v>
      </c>
      <c r="F30" s="5" t="n">
        <v>3217.56</v>
      </c>
      <c r="G30"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1">
      <c r="B31" s="4" t="inlineStr">
        <is>
          <t>C lease liabilities</t>
        </is>
      </c>
      <c r="C31" s="5" t="n">
        <v>0.04</v>
      </c>
      <c r="D31" s="5" t="n">
        <v>0</v>
      </c>
      <c r="E31" s="5" t="n">
        <v>0.35</v>
      </c>
      <c r="F31" s="5" t="n">
        <v>1.19</v>
      </c>
      <c r="G31"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2">
      <c r="B32" s="4" t="inlineStr">
        <is>
          <t>Trade payables</t>
        </is>
      </c>
      <c r="C32" s="5" t="n">
        <v>492.14</v>
      </c>
      <c r="D32" s="5" t="n">
        <v>808.1900000000001</v>
      </c>
      <c r="E32" s="5" t="n">
        <v>753.9299999999999</v>
      </c>
      <c r="F32" s="5" t="n">
        <v>912.26</v>
      </c>
      <c r="G32" s="6" t="inlineStr">
        <is>
          <t>FY2023-24 AR, consolidated (reported in lakhs, converted /100; cross-validated against the FY2024-25 AR's FY2024 comparative - see TieOut) (original) / FY2024-25 AR, consolidated (Rs crore; FY2024 comparative used for the reclassified lines) (restated, used here - Rs 102.04 cr reclassified vs Other financial liabilities for FY2024, both totals unaffected) / FY2025-26 AR, consolidated, audited (Rs crore)</t>
        </is>
      </c>
    </row>
    <row r="33">
      <c r="B33" s="4" t="inlineStr">
        <is>
          <t>Total current liabilities</t>
        </is>
      </c>
      <c r="C33" s="5" t="n">
        <v>3349.27</v>
      </c>
      <c r="D33" s="5" t="n">
        <v>3660.44</v>
      </c>
      <c r="E33" s="5" t="n">
        <v>4226.65</v>
      </c>
      <c r="F33" s="5" t="n">
        <v>5089</v>
      </c>
      <c r="G33"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4">
      <c r="B34" s="4" t="inlineStr">
        <is>
          <t>Total current assets</t>
        </is>
      </c>
      <c r="C34" s="5" t="n">
        <v>3927.95</v>
      </c>
      <c r="D34" s="5" t="n">
        <v>4644.06</v>
      </c>
      <c r="E34" s="5" t="n">
        <v>5571.4</v>
      </c>
      <c r="F34" s="5" t="n">
        <v>5154.47</v>
      </c>
      <c r="G34"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5">
      <c r="B35" s="4" t="inlineStr">
        <is>
          <t>Inventories</t>
        </is>
      </c>
      <c r="C35" s="5" t="n">
        <v>1667.37</v>
      </c>
      <c r="D35" s="5" t="n">
        <v>1331.53</v>
      </c>
      <c r="E35" s="5" t="n">
        <v>1781.93</v>
      </c>
      <c r="F35" s="5" t="n">
        <v>1808.47</v>
      </c>
      <c r="G35"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6">
      <c r="B36" s="4" t="inlineStr">
        <is>
          <t>Trade receivables</t>
        </is>
      </c>
      <c r="C36" s="5" t="n">
        <v>1115.27</v>
      </c>
      <c r="D36" s="5" t="n">
        <v>1445.43</v>
      </c>
      <c r="E36" s="5" t="n">
        <v>1494.54</v>
      </c>
      <c r="F36" s="5" t="n">
        <v>1446.57</v>
      </c>
      <c r="G36"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7">
      <c r="B37" s="4" t="inlineStr">
        <is>
          <t>Cash and cash equivalents</t>
        </is>
      </c>
      <c r="C37" s="5" t="n">
        <v>69.3</v>
      </c>
      <c r="D37" s="5" t="n">
        <v>74.62</v>
      </c>
      <c r="E37" s="5" t="n">
        <v>80.23999999999999</v>
      </c>
      <c r="F37" s="5" t="n">
        <v>60.92</v>
      </c>
      <c r="G37"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8">
      <c r="B38" s="4" t="inlineStr">
        <is>
          <t>Other bank balances</t>
        </is>
      </c>
      <c r="C38" s="5" t="n">
        <v>7.03</v>
      </c>
      <c r="D38" s="5" t="n">
        <v>5.38</v>
      </c>
      <c r="E38" s="5" t="n">
        <v>6.01</v>
      </c>
      <c r="F38" s="5" t="n">
        <v>3.59</v>
      </c>
      <c r="G38"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39">
      <c r="B39" s="4" t="inlineStr">
        <is>
          <t>Current investments</t>
        </is>
      </c>
      <c r="C39" s="5" t="n">
        <v>774.6</v>
      </c>
      <c r="D39" s="5" t="n">
        <v>1348.99</v>
      </c>
      <c r="E39" s="5" t="n">
        <v>1702.78</v>
      </c>
      <c r="F39" s="5" t="n">
        <v>1327.48</v>
      </c>
      <c r="G39" s="6" t="inlineStr">
        <is>
          <t>FY2023-24 AR, consolidated (reported in lakhs, converted /100; cross-validated against the FY2024-25 AR's FY2024 comparative - see TieOut) / FY2024-25 AR, consolidated (Rs crore; FY2024 comparative used for the reclassified lines) / FY2025-26 AR, consolidated, audited (Rs crore)</t>
        </is>
      </c>
    </row>
    <row r="40">
      <c r="B40" s="4" t="inlineStr">
        <is>
          <t>--- DISCLOSED / REGULATORY (not computed here) ---</t>
        </is>
      </c>
      <c r="C40" s="5" t="inlineStr"/>
      <c r="D40" s="5" t="inlineStr"/>
      <c r="E40" s="5" t="inlineStr"/>
      <c r="F40" s="5" t="inlineStr"/>
      <c r="G40" s="6" t="inlineStr"/>
    </row>
    <row r="41">
      <c r="B41" s="4" t="inlineStr">
        <is>
          <t>Total debt/total assets (company's own ratio)</t>
        </is>
      </c>
      <c r="C41" s="5" t="inlineStr"/>
      <c r="D41" s="5" t="inlineStr"/>
      <c r="E41" s="5" t="inlineStr"/>
      <c r="F41" s="5" t="n">
        <v>0.23</v>
      </c>
      <c r="G41" s="6" t="inlineStr">
        <is>
          <t>Q1 FY2026-27 filing, 30-Jun-2026, consolidated column, Reg 52(4)</t>
        </is>
      </c>
    </row>
    <row r="42">
      <c r="B42" s="4" t="inlineStr">
        <is>
          <t>Debt-Equity ratio (company's own ratio)</t>
        </is>
      </c>
      <c r="C42" s="5" t="inlineStr"/>
      <c r="D42" s="5" t="inlineStr"/>
      <c r="E42" s="5" t="inlineStr"/>
      <c r="F42" s="5" t="n">
        <v>0.37</v>
      </c>
      <c r="G42" s="6" t="inlineStr">
        <is>
          <t>Q1 FY2026-27 filing, 30-Jun-2026, consolidated column, Reg 52(4)</t>
        </is>
      </c>
    </row>
    <row r="43">
      <c r="B43" s="4" t="inlineStr">
        <is>
          <t>DSCR (company's own ratio, times)</t>
        </is>
      </c>
      <c r="C43" s="5" t="inlineStr"/>
      <c r="D43" s="5" t="inlineStr"/>
      <c r="E43" s="5" t="inlineStr"/>
      <c r="F43" s="5" t="n">
        <v>4.31</v>
      </c>
      <c r="G43" s="6" t="inlineStr">
        <is>
          <t>Q1 FY2026-27 filing, 30-Jun-2026, consolidated column, Reg 52(4)</t>
        </is>
      </c>
    </row>
    <row r="44">
      <c r="B44" s="4" t="inlineStr">
        <is>
          <t>ISCR (company's own ratio, times)</t>
        </is>
      </c>
      <c r="C44" s="5" t="inlineStr"/>
      <c r="D44" s="5" t="inlineStr"/>
      <c r="E44" s="5" t="inlineStr"/>
      <c r="F44" s="5" t="n">
        <v>70.76000000000001</v>
      </c>
      <c r="G44" s="6" t="inlineStr">
        <is>
          <t>Q1 FY2026-27 filing, 30-Jun-2026, consolidated column, Reg 52(4)</t>
        </is>
      </c>
    </row>
    <row r="45">
      <c r="B45" s="4" t="inlineStr">
        <is>
          <t>Current ratio (company's own ratio)</t>
        </is>
      </c>
      <c r="C45" s="5" t="inlineStr"/>
      <c r="D45" s="5" t="inlineStr"/>
      <c r="E45" s="5" t="inlineStr"/>
      <c r="F45" s="5" t="n">
        <v>1.01</v>
      </c>
      <c r="G45" s="6" t="inlineStr">
        <is>
          <t>Q1 FY2026-27 filing, 30-Jun-2026, consolidated column, Reg 52(4)</t>
        </is>
      </c>
    </row>
    <row r="46">
      <c r="B46" s="4" t="inlineStr">
        <is>
          <t>Operating margin % (EBIT basis, company's own)</t>
        </is>
      </c>
      <c r="C46" s="5" t="inlineStr"/>
      <c r="D46" s="5" t="inlineStr"/>
      <c r="E46" s="5" t="inlineStr"/>
      <c r="F46" s="5" t="n">
        <v>14.09</v>
      </c>
      <c r="G46" s="6" t="inlineStr">
        <is>
          <t>Q1 FY2026-27 filing, 30-Jun-2026, consolidated column, Reg 52(4)</t>
        </is>
      </c>
    </row>
    <row r="47">
      <c r="B47" s="4" t="inlineStr">
        <is>
          <t>Net profit margin % (on total income, company's own)</t>
        </is>
      </c>
      <c r="C47" s="5" t="inlineStr"/>
      <c r="D47" s="5" t="inlineStr"/>
      <c r="E47" s="5" t="inlineStr"/>
      <c r="F47" s="5" t="n">
        <v>11.22</v>
      </c>
      <c r="G47" s="6" t="inlineStr">
        <is>
          <t>Q1 FY2026-27 filing, 30-Jun-2026, consolidated column, Reg 52(4)</t>
        </is>
      </c>
    </row>
    <row r="48">
      <c r="B48" s="4" t="inlineStr">
        <is>
          <t>Contingent liabilities (Rs cr, standalone Note 46)</t>
        </is>
      </c>
      <c r="C48" s="5" t="inlineStr"/>
      <c r="D48" s="5" t="inlineStr"/>
      <c r="E48" s="5" t="inlineStr"/>
      <c r="F48" s="5" t="n">
        <v>946.09</v>
      </c>
      <c r="G48" s="6" t="inlineStr">
        <is>
          <t>FY2025-26 AR, standalone Note 46</t>
        </is>
      </c>
    </row>
    <row r="49">
      <c r="B49" s="4" t="inlineStr">
        <is>
          <t>Capital commitments (Rs cr, standalone Note 46)</t>
        </is>
      </c>
      <c r="C49" s="5" t="inlineStr"/>
      <c r="D49" s="5" t="inlineStr"/>
      <c r="E49" s="5" t="inlineStr"/>
      <c r="F49" s="5" t="n">
        <v>2711.84</v>
      </c>
      <c r="G49" s="6" t="inlineStr">
        <is>
          <t>FY2025-26 AR, standalone Note 46 - contracts remaining to be executed, net of advances</t>
        </is>
      </c>
    </row>
    <row r="50">
      <c r="B50" s="4" t="inlineStr">
        <is>
          <t>Cumulative announced capex outlay through FY2029 (Rs cr)</t>
        </is>
      </c>
      <c r="C50" s="5" t="inlineStr"/>
      <c r="D50" s="5" t="inlineStr"/>
      <c r="E50" s="5" t="inlineStr"/>
      <c r="F50" s="5" t="n">
        <v>6800</v>
      </c>
      <c r="G50" s="6" t="inlineStr">
        <is>
          <t>FY2025-26 AR MD&amp;A - announced since Aug-2024</t>
        </is>
      </c>
    </row>
    <row r="51">
      <c r="B51" s="4" t="inlineStr">
        <is>
          <t>Net cash from operating activities (Rs cr)</t>
        </is>
      </c>
      <c r="C51" s="5" t="n">
        <v>0</v>
      </c>
      <c r="D51" s="5" t="inlineStr"/>
      <c r="E51" s="5" t="inlineStr"/>
      <c r="F51" s="5" t="n">
        <v>2249.32</v>
      </c>
      <c r="G51" s="6" t="inlineStr">
        <is>
          <t>FY2025-26 AR consolidated cash flow statement</t>
        </is>
      </c>
    </row>
    <row r="52">
      <c r="B52" s="4" t="inlineStr">
        <is>
          <t>Promoter shareholding %</t>
        </is>
      </c>
      <c r="C52" s="5" t="inlineStr"/>
      <c r="D52" s="5" t="inlineStr"/>
      <c r="E52" s="5" t="inlineStr"/>
      <c r="F52" s="5" t="n">
        <v>58.29</v>
      </c>
      <c r="G52" s="6" t="inlineStr">
        <is>
          <t>FY2025-26 AR shareholding pattern</t>
        </is>
      </c>
    </row>
  </sheetData>
  <mergeCells count="1">
    <mergeCell ref="B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22"/>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0" customWidth="1" min="2" max="2"/>
    <col width="14" customWidth="1" min="3" max="3"/>
    <col width="14" customWidth="1" min="4" max="4"/>
    <col width="14" customWidth="1" min="5" max="5"/>
    <col width="14" customWidth="1" min="6" max="6"/>
    <col width="46" customWidth="1" min="7" max="7"/>
    <col width="52" customWidth="1" min="8" max="8"/>
  </cols>
  <sheetData>
    <row r="2">
      <c r="B2" s="1" t="inlineStr">
        <is>
          <t>Balkrishna Industries Limited - ratio suite (Consolidated, Rs crore; agency conventions applied)</t>
        </is>
      </c>
    </row>
    <row r="3" ht="42" customHeight="1">
      <c r="B3" s="2" t="inlineStr">
        <is>
          <t>Every value is a LIVE FORMULA referencing the Inputs sheet - click any cell to see the arithmetic. 'Calculation' states the same formula in words; 'Convention' records the definitional choice (lease treatment, normalisation, netting) so the basis is auditable.</t>
        </is>
      </c>
    </row>
    <row r="5">
      <c r="B5" s="3" t="inlineStr">
        <is>
          <t>Ratio</t>
        </is>
      </c>
      <c r="C5" s="3" t="inlineStr">
        <is>
          <t>FY2023</t>
        </is>
      </c>
      <c r="D5" s="3" t="inlineStr">
        <is>
          <t>FY2024</t>
        </is>
      </c>
      <c r="E5" s="3" t="inlineStr">
        <is>
          <t>FY2025</t>
        </is>
      </c>
      <c r="F5" s="3" t="inlineStr">
        <is>
          <t>FY2026</t>
        </is>
      </c>
      <c r="G5" s="3" t="inlineStr">
        <is>
          <t>Calculation</t>
        </is>
      </c>
      <c r="H5" s="3" t="inlineStr">
        <is>
          <t>Convention / note</t>
        </is>
      </c>
    </row>
    <row r="6">
      <c r="B6" s="4" t="inlineStr">
        <is>
          <t>OPBDITA (Rs cr)</t>
        </is>
      </c>
      <c r="C6" s="7">
        <f>(Inputs!C19+Inputs!C14+Inputs!C15-Inputs!C8+Inputs!C17)</f>
        <v>1707.11</v>
      </c>
      <c r="D6" s="7">
        <f>(Inputs!D19+Inputs!D14+Inputs!D15-Inputs!D8+Inputs!D17)</f>
        <v>2255.37</v>
      </c>
      <c r="E6" s="7">
        <f>(Inputs!E19+Inputs!E14+Inputs!E15-Inputs!E8+Inputs!E17)</f>
        <v>2457.6</v>
      </c>
      <c r="F6" s="7">
        <f>(Inputs!F19+Inputs!F14+Inputs!F15-Inputs!F8+Inputs!F17)</f>
        <v>2590.4400000000005</v>
      </c>
      <c r="G6" s="6" t="inlineStr">
        <is>
          <t>PBT + finance cost + depreciation - other income (ICRA convention, excludes other income)</t>
        </is>
      </c>
    </row>
    <row r="7">
      <c r="B7" s="4" t="inlineStr">
        <is>
          <t>OPBDITA margin %</t>
        </is>
      </c>
      <c r="C7" s="8">
        <f>100*(Inputs!C19+Inputs!C14+Inputs!C15-Inputs!C8+Inputs!C17)/Inputs!C7</f>
        <v>17.49172347438862</v>
      </c>
      <c r="D7" s="8">
        <f>100*(Inputs!D19+Inputs!D14+Inputs!D15-Inputs!D8+Inputs!D17)/Inputs!D7</f>
        <v>24.073020545700814</v>
      </c>
      <c r="E7" s="8">
        <f>100*(Inputs!E19+Inputs!E14+Inputs!E15-Inputs!E8+Inputs!E17)/Inputs!E7</f>
        <v>23.524569371921945</v>
      </c>
      <c r="F7" s="8">
        <f>100*(Inputs!F19+Inputs!F14+Inputs!F15-Inputs!F8+Inputs!F17)/Inputs!F7</f>
        <v>23.93440684167539</v>
      </c>
      <c r="G7" s="6" t="inlineStr">
        <is>
          <t>OPBDITA over revenue from operations</t>
        </is>
      </c>
    </row>
    <row r="8">
      <c r="B8" s="4" t="inlineStr">
        <is>
          <t>PAT margin %</t>
        </is>
      </c>
      <c r="C8" s="8">
        <f>100*Inputs!C21/Inputs!C7</f>
        <v>10.834538138619381</v>
      </c>
      <c r="D8" s="8">
        <f>100*Inputs!D21/Inputs!D7</f>
        <v>15.706163069825923</v>
      </c>
      <c r="E8" s="8">
        <f>100*Inputs!E21/Inputs!E7</f>
        <v>15.841561412661111</v>
      </c>
      <c r="F8" s="8">
        <f>100*Inputs!F21/Inputs!F7</f>
        <v>11.485639947223895</v>
      </c>
      <c r="G8" s="6" t="inlineStr">
        <is>
          <t>PAT over revenue from operations</t>
        </is>
      </c>
    </row>
    <row r="9">
      <c r="B9" s="4" t="inlineStr">
        <is>
          <t>Total debt (Rs cr)</t>
        </is>
      </c>
      <c r="C9" s="7">
        <f>(Inputs!C26+Inputs!C27+Inputs!C30+Inputs!C31)</f>
        <v>3346.5299999999997</v>
      </c>
      <c r="D9" s="7">
        <f>(Inputs!D26+Inputs!D27+Inputs!D30+Inputs!D31)</f>
        <v>3099.4399999999996</v>
      </c>
      <c r="E9" s="7">
        <f>(Inputs!E26+Inputs!E27+Inputs!E30+Inputs!E31)</f>
        <v>3267.45</v>
      </c>
      <c r="F9" s="7">
        <f>(Inputs!F26+Inputs!F27+Inputs!F30+Inputs!F31)</f>
        <v>4110.82</v>
      </c>
      <c r="G9" s="6" t="inlineStr">
        <is>
          <t>NC + C borrowings, including lease liabilities</t>
        </is>
      </c>
    </row>
    <row r="10">
      <c r="B10" s="4" t="inlineStr">
        <is>
          <t>Net debt (Rs cr)</t>
        </is>
      </c>
      <c r="C10" s="7">
        <f>((Inputs!C26+Inputs!C27+Inputs!C30+Inputs!C31)-(Inputs!C37+Inputs!C38+Inputs!C39))</f>
        <v>2495.5999999999995</v>
      </c>
      <c r="D10" s="7">
        <f>((Inputs!D26+Inputs!D27+Inputs!D30+Inputs!D31)-(Inputs!D37+Inputs!D38+Inputs!D39))</f>
        <v>1670.4499999999996</v>
      </c>
      <c r="E10" s="7">
        <f>((Inputs!E26+Inputs!E27+Inputs!E30+Inputs!E31)-(Inputs!E37+Inputs!E38+Inputs!E39))</f>
        <v>1478.4199999999998</v>
      </c>
      <c r="F10" s="7">
        <f>((Inputs!F26+Inputs!F27+Inputs!F30+Inputs!F31)-(Inputs!F37+Inputs!F38+Inputs!F39))</f>
        <v>2718.83</v>
      </c>
      <c r="G10" s="6" t="inlineStr">
        <is>
          <t>total debt less cash, other bank balances and CURRENT investments (non-current strategic investments excluded)</t>
        </is>
      </c>
    </row>
    <row r="11">
      <c r="B11" s="4" t="inlineStr">
        <is>
          <t>Gearing (times)</t>
        </is>
      </c>
      <c r="C11" s="8">
        <f>(Inputs!C26+Inputs!C27+Inputs!C30+Inputs!C31)/Inputs!C25</f>
        <v>0.44284252996918055</v>
      </c>
      <c r="D11" s="8">
        <f>(Inputs!D26+Inputs!D27+Inputs!D30+Inputs!D31)/Inputs!D25</f>
        <v>0.3500681061959696</v>
      </c>
      <c r="E11" s="8">
        <f>(Inputs!E26+Inputs!E27+Inputs!E30+Inputs!E31)/Inputs!E25</f>
        <v>0.3145529284916631</v>
      </c>
      <c r="F11" s="8">
        <f>(Inputs!F26+Inputs!F27+Inputs!F30+Inputs!F31)/Inputs!F25</f>
        <v>0.37523607316647933</v>
      </c>
      <c r="G11" s="6" t="inlineStr">
        <is>
          <t>total debt over net worth</t>
        </is>
      </c>
    </row>
    <row r="12">
      <c r="B12" s="4" t="inlineStr">
        <is>
          <t>Net gearing (times)</t>
        </is>
      </c>
      <c r="C12" s="8">
        <f>((Inputs!C26+Inputs!C27+Inputs!C30+Inputs!C31)-(Inputs!C37+Inputs!C38+Inputs!C39))/Inputs!C25</f>
        <v>0.3302399254723809</v>
      </c>
      <c r="D12" s="8">
        <f>((Inputs!D26+Inputs!D27+Inputs!D30+Inputs!D31)-(Inputs!D37+Inputs!D38+Inputs!D39))/Inputs!D25</f>
        <v>0.1886699752197356</v>
      </c>
      <c r="E12" s="8">
        <f>((Inputs!E26+Inputs!E27+Inputs!E30+Inputs!E31)-(Inputs!E37+Inputs!E38+Inputs!E39))/Inputs!E25</f>
        <v>0.14232546497747312</v>
      </c>
      <c r="F12" s="8">
        <f>((Inputs!F26+Inputs!F27+Inputs!F30+Inputs!F31)-(Inputs!F37+Inputs!F38+Inputs!F39))/Inputs!F25</f>
        <v>0.24817508254003315</v>
      </c>
      <c r="G12" s="6" t="inlineStr">
        <is>
          <t>net debt over net worth</t>
        </is>
      </c>
    </row>
    <row r="13">
      <c r="B13" s="4" t="inlineStr">
        <is>
          <t>TOL/TNW (times)</t>
        </is>
      </c>
      <c r="C13" s="8">
        <f>(Inputs!C24-Inputs!C25)/Inputs!C25</f>
        <v>0.6339518825766547</v>
      </c>
      <c r="D13" s="8">
        <f>(Inputs!D24-Inputs!D25)/Inputs!D25</f>
        <v>0.5456085621799406</v>
      </c>
      <c r="E13" s="8">
        <f>(Inputs!E24-Inputs!E25)/Inputs!E25</f>
        <v>0.5051272671261888</v>
      </c>
      <c r="F13" s="8">
        <f>(Inputs!F24-Inputs!F25)/Inputs!F25</f>
        <v>0.6217133457900246</v>
      </c>
      <c r="G13" s="6" t="inlineStr">
        <is>
          <t>total outside liabilities over net worth</t>
        </is>
      </c>
    </row>
    <row r="14">
      <c r="B14" s="4" t="inlineStr">
        <is>
          <t>Total debt/OPBDITA (times)</t>
        </is>
      </c>
      <c r="C14" s="8">
        <f>(Inputs!C26+Inputs!C27+Inputs!C30+Inputs!C31)/((Inputs!C19+Inputs!C14+Inputs!C15-Inputs!C8+Inputs!C17))</f>
        <v>1.9603481908019986</v>
      </c>
      <c r="D14" s="8">
        <f>(Inputs!D26+Inputs!D27+Inputs!D30+Inputs!D31)/((Inputs!D19+Inputs!D14+Inputs!D15-Inputs!D8+Inputs!D17))</f>
        <v>1.3742490145741053</v>
      </c>
      <c r="E14" s="8">
        <f>(Inputs!E26+Inputs!E27+Inputs!E30+Inputs!E31)/((Inputs!E19+Inputs!E14+Inputs!E15-Inputs!E8+Inputs!E17))</f>
        <v>1.32952880859375</v>
      </c>
      <c r="F14" s="8">
        <f>(Inputs!F26+Inputs!F27+Inputs!F30+Inputs!F31)/((Inputs!F19+Inputs!F14+Inputs!F15-Inputs!F8+Inputs!F17))</f>
        <v>1.5869195966708354</v>
      </c>
      <c r="G14" s="6" t="inlineStr"/>
    </row>
    <row r="15">
      <c r="B15" s="4" t="inlineStr">
        <is>
          <t>Net debt/OPBDITA (times)</t>
        </is>
      </c>
      <c r="C15" s="8">
        <f>((Inputs!C26+Inputs!C27+Inputs!C30+Inputs!C31)-(Inputs!C37+Inputs!C38+Inputs!C39))/((Inputs!C19+Inputs!C14+Inputs!C15-Inputs!C8+Inputs!C17))</f>
        <v>1.4618858773014038</v>
      </c>
      <c r="D15" s="8">
        <f>((Inputs!D26+Inputs!D27+Inputs!D30+Inputs!D31)-(Inputs!D37+Inputs!D38+Inputs!D39))/((Inputs!D19+Inputs!D14+Inputs!D15-Inputs!D8+Inputs!D17))</f>
        <v>0.740654526751708</v>
      </c>
      <c r="E15" s="8">
        <f>((Inputs!E26+Inputs!E27+Inputs!E30+Inputs!E31)-(Inputs!E37+Inputs!E38+Inputs!E39))/((Inputs!E19+Inputs!E14+Inputs!E15-Inputs!E8+Inputs!E17))</f>
        <v>0.6015706380208333</v>
      </c>
      <c r="F15" s="8">
        <f>((Inputs!F26+Inputs!F27+Inputs!F30+Inputs!F31)-(Inputs!F37+Inputs!F38+Inputs!F39))/((Inputs!F19+Inputs!F14+Inputs!F15-Inputs!F8+Inputs!F17))</f>
        <v>1.0495630086008552</v>
      </c>
      <c r="G15" s="6" t="inlineStr"/>
    </row>
    <row r="16">
      <c r="B16" s="4" t="inlineStr">
        <is>
          <t>Interest coverage (times)</t>
        </is>
      </c>
      <c r="C16" s="8">
        <f>((Inputs!C19+Inputs!C14+Inputs!C15-Inputs!C8+Inputs!C17))/Inputs!C14</f>
        <v>35.535179017485426</v>
      </c>
      <c r="D16" s="8">
        <f>((Inputs!D19+Inputs!D14+Inputs!D15-Inputs!D8+Inputs!D17))/Inputs!D14</f>
        <v>19.982014707185254</v>
      </c>
      <c r="E16" s="8">
        <f>((Inputs!E19+Inputs!E14+Inputs!E15-Inputs!E8+Inputs!E17))/Inputs!E14</f>
        <v>19.14913510986442</v>
      </c>
      <c r="F16" s="8">
        <f>((Inputs!F19+Inputs!F14+Inputs!F15-Inputs!F8+Inputs!F17))/Inputs!F14</f>
        <v>19.386618769645267</v>
      </c>
      <c r="G16" s="6" t="inlineStr">
        <is>
          <t>OPBDITA over finance costs</t>
        </is>
      </c>
    </row>
    <row r="17">
      <c r="B17" s="4" t="inlineStr">
        <is>
          <t>RoCE %</t>
        </is>
      </c>
      <c r="C17" s="8">
        <f>100*(((Inputs!C19+Inputs!C14+Inputs!C15-Inputs!C8+Inputs!C17))-Inputs!C15)/(((Inputs!C26+Inputs!C27+Inputs!C30+Inputs!C31)+Inputs!C25+Inputs!C28))</f>
        <v>10.195319825110294</v>
      </c>
      <c r="D17" s="8">
        <f>100*(((Inputs!D19+Inputs!D14+Inputs!D15-Inputs!D8+Inputs!D17))-Inputs!D15)/(((Inputs!D26+Inputs!D27+Inputs!D30+Inputs!D31)+Inputs!D25+Inputs!D28))</f>
        <v>13.043538341735585</v>
      </c>
      <c r="E17" s="8">
        <f>100*(((Inputs!E19+Inputs!E14+Inputs!E15-Inputs!E8+Inputs!E17))-Inputs!E15)/(((Inputs!E26+Inputs!E27+Inputs!E30+Inputs!E31)+Inputs!E25+Inputs!E28))</f>
        <v>12.592275012667109</v>
      </c>
      <c r="F17" s="8">
        <f>100*(((Inputs!F19+Inputs!F14+Inputs!F15-Inputs!F8+Inputs!F17))-Inputs!F15)/(((Inputs!F26+Inputs!F27+Inputs!F30+Inputs!F31)+Inputs!F25+Inputs!F28))</f>
        <v>11.801897555410376</v>
      </c>
      <c r="G17" s="6" t="inlineStr">
        <is>
          <t>(OPBDITA - depreciation) over capital employed (debt + net worth + deferred tax liability), period-end basis</t>
        </is>
      </c>
    </row>
    <row r="18">
      <c r="B18" s="4" t="inlineStr">
        <is>
          <t>Current ratio (times)</t>
        </is>
      </c>
      <c r="C18" s="8">
        <f>Inputs!C34/Inputs!C33</f>
        <v>1.1727779486276113</v>
      </c>
      <c r="D18" s="8">
        <f>Inputs!D34/Inputs!D33</f>
        <v>1.2687163291844696</v>
      </c>
      <c r="E18" s="8">
        <f>Inputs!E34/Inputs!E33</f>
        <v>1.3181597719233908</v>
      </c>
      <c r="F18" s="8">
        <f>Inputs!F34/Inputs!F33</f>
        <v>1.012865002947534</v>
      </c>
      <c r="G18" s="6" t="inlineStr"/>
    </row>
    <row r="19">
      <c r="B19" s="4" t="inlineStr">
        <is>
          <t>Debtor days</t>
        </is>
      </c>
      <c r="C19" s="9">
        <f>365*Inputs!C36/Inputs!C7</f>
        <v>41.710364126141315</v>
      </c>
      <c r="D19" s="9">
        <f>365*Inputs!D36/Inputs!D7</f>
        <v>56.31222868926562</v>
      </c>
      <c r="E19" s="9">
        <f>365*Inputs!E36/Inputs!E7</f>
        <v>52.21687669606918</v>
      </c>
      <c r="F19" s="9">
        <f>365*Inputs!F36/Inputs!F7</f>
        <v>48.78445414798744</v>
      </c>
      <c r="G19" s="6" t="inlineStr">
        <is>
          <t>closing balance (point-in-time), used in every year for a consistent convention across the series - FY2023 has no prior-year balance sheet in the document set to average with</t>
        </is>
      </c>
    </row>
    <row r="20">
      <c r="B20" s="4" t="inlineStr">
        <is>
          <t>Inventory days</t>
        </is>
      </c>
      <c r="C20" s="9">
        <f>365*Inputs!C35/((Inputs!C10+Inputs!C11+Inputs!C12))</f>
        <v>123.81519171730775</v>
      </c>
      <c r="D20" s="9">
        <f>365*Inputs!D35/((Inputs!D10+Inputs!D11+Inputs!D12))</f>
        <v>108.20819473574059</v>
      </c>
      <c r="E20" s="9">
        <f>365*Inputs!E35/((Inputs!E10+Inputs!E11+Inputs!E12))</f>
        <v>128.52674460424547</v>
      </c>
      <c r="F20" s="9">
        <f>365*Inputs!F35/((Inputs!F10+Inputs!F11+Inputs!F12))</f>
        <v>126.28134834470029</v>
      </c>
      <c r="G20" s="6" t="inlineStr">
        <is>
          <t>closing inventory over COGS</t>
        </is>
      </c>
    </row>
    <row r="21">
      <c r="B21" s="4" t="inlineStr">
        <is>
          <t>Payable days</t>
        </is>
      </c>
      <c r="C21" s="9">
        <f>365*Inputs!C32/((Inputs!C10+Inputs!C11+Inputs!C12))</f>
        <v>36.545222986953014</v>
      </c>
      <c r="D21" s="9">
        <f>365*Inputs!D32/((Inputs!D10+Inputs!D11+Inputs!D12))</f>
        <v>65.67841573489008</v>
      </c>
      <c r="E21" s="9">
        <f>365*Inputs!E32/((Inputs!E10+Inputs!E11+Inputs!E12))</f>
        <v>54.37933508021009</v>
      </c>
      <c r="F21" s="9">
        <f>365*Inputs!F32/((Inputs!F10+Inputs!F11+Inputs!F12))</f>
        <v>63.70104167663068</v>
      </c>
      <c r="G21" s="6" t="inlineStr">
        <is>
          <t>closing payables over COGS</t>
        </is>
      </c>
    </row>
    <row r="22">
      <c r="B22" s="4" t="inlineStr">
        <is>
          <t>Working capital cycle (days)</t>
        </is>
      </c>
      <c r="C22" s="9">
        <f>365*Inputs!C36/Inputs!C7+365*Inputs!C35/((Inputs!C10+Inputs!C11+Inputs!C12))-365*Inputs!C32/((Inputs!C10+Inputs!C11+Inputs!C12))</f>
        <v>128.98033285649606</v>
      </c>
      <c r="D22" s="9">
        <f>365*Inputs!D36/Inputs!D7+365*Inputs!D35/((Inputs!D10+Inputs!D11+Inputs!D12))-365*Inputs!D32/((Inputs!D10+Inputs!D11+Inputs!D12))</f>
        <v>98.84200769011613</v>
      </c>
      <c r="E22" s="9">
        <f>365*Inputs!E36/Inputs!E7+365*Inputs!E35/((Inputs!E10+Inputs!E11+Inputs!E12))-365*Inputs!E32/((Inputs!E10+Inputs!E11+Inputs!E12))</f>
        <v>126.36428622010456</v>
      </c>
      <c r="F22" s="9">
        <f>365*Inputs!F36/Inputs!F7+365*Inputs!F35/((Inputs!F10+Inputs!F11+Inputs!F12))-365*Inputs!F32/((Inputs!F10+Inputs!F11+Inputs!F12))</f>
        <v>111.36476081605706</v>
      </c>
      <c r="G22" s="6" t="inlineStr">
        <is>
          <t>debtor days + inventory days - payable days</t>
        </is>
      </c>
    </row>
  </sheetData>
  <mergeCells count="1">
    <mergeCell ref="B3:G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2"/>
  <sheetViews>
    <sheetView workbookViewId="0">
      <selection activeCell="A1" sqref="A1"/>
    </sheetView>
  </sheetViews>
  <sheetFormatPr baseColWidth="8" defaultRowHeight="15"/>
  <cols>
    <col width="44" customWidth="1" min="2" max="2"/>
    <col width="16" customWidth="1" min="3" max="3"/>
    <col width="18" customWidth="1" min="4" max="4"/>
    <col width="12" customWidth="1" min="5" max="5"/>
    <col width="60" customWidth="1" min="6" max="6"/>
  </cols>
  <sheetData>
    <row r="2">
      <c r="B2" s="1" t="inlineStr">
        <is>
          <t>Balkrishna Industries Limited - tie-out to company-disclosed figures</t>
        </is>
      </c>
    </row>
    <row r="3" ht="42" customHeight="1">
      <c r="B3" s="2" t="inlineStr">
        <is>
          <t>Binding gate (CLAUDE.md Step 6): headline computed figures must reconcile to the company's OWN disclosed numbers before the workpaper is issued. PASS/FAIL is itself a formula - it re-evaluates if any input changes.</t>
        </is>
      </c>
    </row>
    <row r="5">
      <c r="B5" s="3" t="inlineStr">
        <is>
          <t>Check</t>
        </is>
      </c>
      <c r="C5" s="3" t="inlineStr">
        <is>
          <t>Computed</t>
        </is>
      </c>
      <c r="D5" s="3" t="inlineStr">
        <is>
          <t>Company-disclosed</t>
        </is>
      </c>
      <c r="E5" s="3" t="inlineStr">
        <is>
          <t>Result</t>
        </is>
      </c>
      <c r="F5" s="3" t="inlineStr">
        <is>
          <t>Note</t>
        </is>
      </c>
    </row>
    <row r="6">
      <c r="B6" s="4" t="inlineStr">
        <is>
          <t>Balance sheet ties, FY2026 (assets - equity - NC liab, should equal C liab)</t>
        </is>
      </c>
      <c r="C6" s="10">
        <f>Inputs!F24-Inputs!F25-Inputs!F29</f>
        <v>5088.999999999999</v>
      </c>
      <c r="D6" s="10" t="n">
        <v>5089</v>
      </c>
      <c r="E6" s="11" t="str">
        <f>IF(ABS(C6-D6)&lt;=MAX(1,ABS(D6)*0.005),"PASS","CHECK")</f>
        <v>PASS</v>
      </c>
      <c r="F6" s="6" t="inlineStr">
        <is>
          <t>AR consolidated balance sheet, total current liabilities - independently stated, not derived from the formula in column C</t>
        </is>
      </c>
    </row>
    <row r="7">
      <c r="B7" s="4" t="inlineStr">
        <is>
          <t>Gearing, FY2026</t>
        </is>
      </c>
      <c r="C7" s="10">
        <f>(Inputs!F26+Inputs!F27+Inputs!F30+Inputs!F31)/Inputs!F25</f>
        <v>0.37523607316647933</v>
      </c>
      <c r="D7" s="10" t="n">
        <v>0.37</v>
      </c>
      <c r="E7" s="11" t="str">
        <f>IF(ABS(C7-D7)&lt;=MAX(1,ABS(D7)*0.005),"PASS","CHECK")</f>
        <v>PASS</v>
      </c>
      <c r="F7" s="6" t="inlineStr">
        <is>
          <t>company's own Reg 52(4) disclosure, Q1 FY2026-27 filing</t>
        </is>
      </c>
    </row>
    <row r="8">
      <c r="B8" s="4" t="inlineStr">
        <is>
          <t>Operating margin (EBIT basis), FY2026</t>
        </is>
      </c>
      <c r="C8" s="10">
        <f>100*((Inputs!F19+Inputs!F14+Inputs!F15-Inputs!F8)-Inputs!F15)/Inputs!F7</f>
        <v>14.094601536715984</v>
      </c>
      <c r="D8" s="10" t="n">
        <v>14.09</v>
      </c>
      <c r="E8" s="11" t="str">
        <f>IF(ABS(C8-D8)&lt;=MAX(1,ABS(D8)*0.005),"PASS","CHECK")</f>
        <v>PASS</v>
      </c>
      <c r="F8" s="6" t="inlineStr">
        <is>
          <t>company's own Reg 52(4) disclosure, Q1 FY2026-27 filing (EBIT basis, differs from OPBDITA margin above)</t>
        </is>
      </c>
    </row>
    <row r="9">
      <c r="B9" s="4" t="inlineStr">
        <is>
          <t>EPS, FY2026</t>
        </is>
      </c>
      <c r="C9" s="10">
        <f>Inputs!F22</f>
        <v>64.3</v>
      </c>
      <c r="D9" s="10" t="n">
        <v>64.3</v>
      </c>
      <c r="E9" s="11" t="str">
        <f>IF(ABS(C9-D9)&lt;=MAX(1,ABS(D9)*0.005),"PASS","CHECK")</f>
        <v>PASS</v>
      </c>
      <c r="F9" s="6" t="inlineStr">
        <is>
          <t>AR consolidated statement of profit and loss</t>
        </is>
      </c>
    </row>
    <row r="10">
      <c r="B10" s="4" t="inlineStr">
        <is>
          <t>Current ratio, FY2026</t>
        </is>
      </c>
      <c r="C10" s="10">
        <f>Inputs!F34/Inputs!F33</f>
        <v>1.012865002947534</v>
      </c>
      <c r="D10" s="10" t="n">
        <v>1.01</v>
      </c>
      <c r="E10" s="11" t="str">
        <f>IF(ABS(C10-D10)&lt;=MAX(1,ABS(D10)*0.005),"PASS","CHECK")</f>
        <v>PASS</v>
      </c>
      <c r="F10" s="6" t="inlineStr">
        <is>
          <t>company's own Reg 52(4) disclosure, Q1 FY2026-27 filing</t>
        </is>
      </c>
    </row>
    <row r="12">
      <c r="B12" s="12" t="inlineStr">
        <is>
          <t>Tolerance: 0.5% of the disclosed figure, floor Rs 1 - tighter than rounding, loose enough for basis differences.</t>
        </is>
      </c>
    </row>
  </sheetData>
  <mergeCells count="1">
    <mergeCell ref="B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6"/>
  <sheetViews>
    <sheetView workbookViewId="0">
      <selection activeCell="A1" sqref="A1"/>
    </sheetView>
  </sheetViews>
  <sheetFormatPr baseColWidth="8" defaultRowHeight="15"/>
  <cols>
    <col width="34" customWidth="1" min="2" max="2"/>
    <col width="12" customWidth="1" min="3" max="3"/>
    <col width="10" customWidth="1" min="4" max="4"/>
    <col width="12" customWidth="1" min="5" max="5"/>
    <col width="70" customWidth="1" min="6" max="6"/>
  </cols>
  <sheetData>
    <row r="2">
      <c r="B2" s="1" t="inlineStr">
        <is>
          <t>Balkrishna Industries Limited - rating scorecard and view</t>
        </is>
      </c>
    </row>
    <row r="3" ht="42" customHeight="1">
      <c r="B3" s="2" t="inlineStr">
        <is>
          <t>Factor scores 1 (strongest) to 6 (weakest), weighted to a composite. The anchor is a SCREENING cross-check with a +/-2 notch band, NOT the rating - the analyst view and any divergence are stated below and the divergence must be explained, never buried.</t>
        </is>
      </c>
    </row>
    <row r="5">
      <c r="B5" s="3" t="inlineStr">
        <is>
          <t>Rating factor</t>
        </is>
      </c>
      <c r="C5" s="3" t="inlineStr">
        <is>
          <t>Score (1-6)</t>
        </is>
      </c>
      <c r="D5" s="3" t="inlineStr">
        <is>
          <t>Weight</t>
        </is>
      </c>
      <c r="E5" s="3" t="inlineStr">
        <is>
          <t>Weighted</t>
        </is>
      </c>
      <c r="F5" s="3" t="inlineStr">
        <is>
          <t>Justification</t>
        </is>
      </c>
    </row>
    <row r="6">
      <c r="B6" s="4" t="inlineStr">
        <is>
          <t>Business risk - franchise and diversification</t>
        </is>
      </c>
      <c r="C6" s="13" t="n">
        <v>2</v>
      </c>
      <c r="D6" s="14" t="n">
        <v>0.25</v>
      </c>
      <c r="E6" s="8">
        <f>C6*D6</f>
        <v>0.5</v>
      </c>
      <c r="F6" s="6" t="inlineStr">
        <is>
          <t>Largest Indian exporter of off-highway tyres (CareEdge, 05-Mar-2026), operating in over 160 countries, with SKUs grown from ~2,700 (FY2019) to 3,600+ (CRISIL, 27-Feb-2026). Channel mix 70.1% replacement / 28.7% OEM (FY2026 AR) gives revenue stability across cycles. Geographic mix is materially diversified (Europe 40.0%, Americas 13.2%, India 36.3%, RoW 10.5%, FY2026 AR) but this diversification is what transmitted the FY2026 tariff shock - North America revenue fell 28.1% (Rs 1,861.38 cr to Rs 1,338.48 cr, AR segment note) even as India grew 24.0% and 'Others' 46.6% to compensate.</t>
        </is>
      </c>
    </row>
    <row r="7">
      <c r="B7" s="4" t="inlineStr">
        <is>
          <t>Operating efficiency and cost position</t>
        </is>
      </c>
      <c r="C7" s="13" t="n">
        <v>2</v>
      </c>
      <c r="D7" s="14" t="n">
        <v>0.15</v>
      </c>
      <c r="E7" s="8">
        <f>C7*D7</f>
        <v>0.3</v>
      </c>
      <c r="F7" s="6" t="inlineStr">
        <is>
          <t>Backward-integrated carbon black operations (own major raw-material input); logistics cost averaged 5.45% of revenue over 3 years vs an industry benchmark of 7.9%-9%, reduced further to 4.40% in FY2026 (company MD&amp;A); inventory turnover exceeding 24 times with finished-goods held at 12-15 days of production. OPBDITA margin of 21.25% in FY2026, though down from 24.07% (FY2024) and 23.52% (FY2025), remains high in absolute terms for the sector.</t>
        </is>
      </c>
    </row>
    <row r="8">
      <c r="B8" s="4" t="inlineStr">
        <is>
          <t>Financial risk - leverage and coverage</t>
        </is>
      </c>
      <c r="C8" s="13" t="n">
        <v>1</v>
      </c>
      <c r="D8" s="14" t="n">
        <v>0.3</v>
      </c>
      <c r="E8" s="8">
        <f>C8*D8</f>
        <v>0.3</v>
      </c>
      <c r="F8" s="6" t="inlineStr">
        <is>
          <t>Gearing has stayed in a narrow 0.31x-0.44x band across all four years (FY2023-FY2026) DESPITE a Rs 2,984-3,003 crore capex year in FY2026 (cash-flow vs MD&amp;A basis) that was funded predominantly from operating cash flow (Rs 2,249.32 crore, +27.5% y/y) rather than debt. Interest coverage never falls below 17 times in any of the four years, including the FY2026 margin-compression year. TOL/TNW peaks at 0.63x - very low balance-sheet risk for a manufacturer mid-way through a Rs 6,800 crore multi-year capex programme.</t>
        </is>
      </c>
    </row>
    <row r="9">
      <c r="B9" s="4" t="inlineStr">
        <is>
          <t>Earnings trajectory and margin resilience</t>
        </is>
      </c>
      <c r="C9" s="13" t="n">
        <v>3</v>
      </c>
      <c r="D9" s="14" t="n">
        <v>0.15</v>
      </c>
      <c r="E9" s="8">
        <f>C9*D9</f>
        <v>0.44999999999999996</v>
      </c>
      <c r="F9" s="6" t="inlineStr">
        <is>
          <t>FY2026 PAT fell 24.9% (Rs 1,654.96 cr to Rs 1,243.10 cr) on OPBDITA margin compression to 21.25% from 23.52%, driven by the North America tariff shock the company's own MD&amp;A names explicitly ('US tariffs: the sharp spike in import levies weigh on the finances'). RoCE fell to 9.92% from 12.59% (FY2025), partly because capital employed rose sharply (CWIP alone grew from Rs 985.95 cr to Rs 2,472.46 cr) while earnings fell. The most recent quarter (Q1FY2027, consolidated) shows recovery already under way - operating margin 21.54% (annualised OPBDITA basis) and PAT of Rs 450.77 cr, +56.4% year-on-year against Q1FY2026's Rs 288.30 cr - consistent with CRISIL's own comment (27-Feb-2026) that US tariffs are 'now reducing to ~15%' with an expected FY2027 recovery.</t>
        </is>
      </c>
    </row>
    <row r="10">
      <c r="B10" s="4" t="inlineStr">
        <is>
          <t>Capex execution and funding risk</t>
        </is>
      </c>
      <c r="C10" s="13" t="n">
        <v>3</v>
      </c>
      <c r="D10" s="14" t="n">
        <v>0.15</v>
      </c>
      <c r="E10" s="8">
        <f>C10*D10</f>
        <v>0.44999999999999996</v>
      </c>
      <c r="F10" s="6" t="inlineStr">
        <is>
          <t>A Rs 6,800 crore cumulative capex programme (announced since Aug-2024, through FY2029) is under way across Carbon Black capacity (2,65,000 to 3,60,000 MTPA), Premium PCR/CVR entry, and OHT debottlenecking to 4,25,000 MTPA total achievable tyre capacity. FY2026 capital commitments (contracts executed but not yet paid) nearly tripled to Rs 2,711.84 crore from Rs 923.98 crore (AR Note 46), confirming the programme's next phase is substantially committed, not merely announced. Execution risk (cost overrun, delay, demand absorption for the new PCR/CVR capacity in an unfamiliar segment) is real, but funding risk is LOW given the demonstrated FY2026 funding mix (74% of capex from operating cash flow).</t>
        </is>
      </c>
    </row>
    <row r="11">
      <c r="B11" s="15" t="inlineStr">
        <is>
          <t>Weight check (must be 100%)</t>
        </is>
      </c>
      <c r="D11" s="16">
        <f>SUM(D6:D10)</f>
        <v>1.0</v>
      </c>
      <c r="E11" s="17">
        <f>SUM(E6:E10)</f>
        <v>2.0</v>
      </c>
      <c r="F11" s="15" t="str">
        <f>IF(ABS(D11-1)&lt;0.001,"weights sum to 100%","ERROR: weights must sum to 100%")</f>
        <v>weights sum to 100%</v>
      </c>
    </row>
    <row r="13" ht="16" customHeight="1">
      <c r="B13" s="15" t="inlineStr">
        <is>
          <t>Weighted composite score</t>
        </is>
      </c>
      <c r="C13" s="18">
        <f>E11</f>
        <v>2.0</v>
      </c>
    </row>
    <row r="14" ht="30" customHeight="1">
      <c r="B14" s="15" t="inlineStr">
        <is>
          <t>Indicative anchor grade (screening only, +/-2 band)</t>
        </is>
      </c>
      <c r="C14" s="18" t="inlineStr">
        <is>
          <t>AA band (composite reflects strong balance sheet, moderated by a live earnings-trajectory question)</t>
        </is>
      </c>
    </row>
    <row r="15" ht="16" customHeight="1">
      <c r="B15" s="15" t="inlineStr">
        <is>
          <t>ANALYST RATING VIEW</t>
        </is>
      </c>
      <c r="C15" s="19" t="inlineStr">
        <is>
          <t>[ICRA]AA (Stable) / [ICRA]A1+</t>
        </is>
      </c>
    </row>
    <row r="16" ht="30" customHeight="1">
      <c r="B16" s="15" t="inlineStr">
        <is>
          <t>Divergence from anchor - explanation</t>
        </is>
      </c>
      <c r="C16" s="18" t="inlineStr">
        <is>
          <t>This is a NEW ICRA rating (an assignment, not a reaffirmation) - BKT's own FY2025-26 annual report discloses ratings from CRISIL (AA+/Stable) and CareEdge (AA+; Stable on the NCD only) but NO ICRA rating anywhere, confirmed by a recorded zero-hit search for 'ICRA' across the AR and the newest quarterly filing. My independent view is one notch below both peer agencies' AA+ - [ICRA]AA (Stable) - not because the balance sheet disagrees (gearing, coverage and TOL/TNW would all support AA+ on their own) but because the FY2026 earnings trajectory is the live question this exercise cannot resolve with only one quarter of recovery evidence: PAT fell 25% for a full year before Q1FY2027 turned up, and CRISIL's own 27-Feb-2026 rationale (dated inside that same recovery window) explicitly builds its AA+ around a FORECAST of FY2027 recovery ('revenues in FY27 are expected to grow by 7-9%... margins are expected to improve') rather than realised results. A rating built on realised FY2026 results plus one recovering quarter, without that forward-looking credit for a forecast not yet delivered, reasonably sits one notch more cautious. This is a considered, evidenced divergence, not an anchor-matching exercise - and it is within the ±2 notch screening tolerance the scorecard's own back-tested governance allows before requiring committee-level resolution.</t>
        </is>
      </c>
    </row>
  </sheetData>
  <mergeCells count="5">
    <mergeCell ref="C13:F13"/>
    <mergeCell ref="C16:F16"/>
    <mergeCell ref="C15:F15"/>
    <mergeCell ref="B3:E3"/>
    <mergeCell ref="C14:F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2026-08-25T15:26:31Z</dcterms:created>
  <dcterms:modified xmlns:dcterms="http://purl.org/dc/terms/" xmlns:xsi="http://www.w3.org/2001/XMLSchema-instance" xsi:type="dcterms:W3CDTF">2026-08-25T15:26:31Z</dcterms:modified>
</cp:coreProperties>
</file>