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atioSuite" sheetId="2" state="visible" r:id="rId2"/>
    <sheet xmlns:r="http://schemas.openxmlformats.org/officeDocument/2006/relationships" name="TieOut" sheetId="3" state="visible" r:id="rId3"/>
    <sheet xmlns:r="http://schemas.openxmlformats.org/officeDocument/2006/relationships" name="RatingScore" sheetId="4" state="visible" r:id="rId4"/>
  </sheets>
  <definedNames/>
  <calcPr calcId="99999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&quot;%&quot;"/>
    <numFmt numFmtId="166" formatCode="0.00&quot; pp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1B2A4A"/>
      <sz val="13"/>
    </font>
    <font>
      <i val="1"/>
      <color rgb="00666666"/>
      <sz val="9"/>
    </font>
    <font>
      <b val="1"/>
      <color rgb="00FFFFFF"/>
    </font>
    <font>
      <b val="1"/>
    </font>
    <font/>
    <font>
      <b val="1"/>
      <color rgb="000E7C86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3" borderId="1" pivotButton="0" quotePrefix="0" xfId="0"/>
    <xf numFmtId="0" fontId="2" fillId="0" borderId="1" applyAlignment="1" pivotButton="0" quotePrefix="0" xfId="0">
      <alignment vertical="top" wrapText="1"/>
    </xf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4" fontId="0" fillId="0" borderId="1" pivotButton="0" quotePrefix="0" xfId="0"/>
    <xf numFmtId="0" fontId="4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  <xf numFmtId="9" fontId="0" fillId="3" borderId="1" pivotButton="0" quotePrefix="0" xfId="0"/>
    <xf numFmtId="2" fontId="0" fillId="0" borderId="1" pivotButton="0" quotePrefix="0" xfId="0"/>
    <xf numFmtId="0" fontId="4" fillId="0" borderId="0" pivotButton="0" quotePrefix="0" xfId="0"/>
    <xf numFmtId="9" fontId="4" fillId="0" borderId="0" pivotButton="0" quotePrefix="0" xfId="0"/>
    <xf numFmtId="2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64" customWidth="1" min="8" max="8"/>
  </cols>
  <sheetData>
    <row r="2">
      <c r="B2" s="1" t="inlineStr">
        <is>
          <t>State Bank of India - extracted line items (Consolidated, Rs crore)</t>
        </is>
      </c>
    </row>
    <row r="3" ht="42" customHeight="1">
      <c r="B3" s="2" t="inlineStr">
        <is>
          <t>Yellow cells are EXTRACTED INPUTS traced to the source in the final column - nothing here is computed. Every downstream ratio references this sheet, so correcting a value here reflows the entire workbook.</t>
        </is>
      </c>
    </row>
    <row r="5">
      <c r="B5" s="3" t="inlineStr">
        <is>
          <t>Line item</t>
        </is>
      </c>
      <c r="C5" s="3" t="inlineStr">
        <is>
          <t>FY2022</t>
        </is>
      </c>
      <c r="D5" s="3" t="inlineStr">
        <is>
          <t>FY2023</t>
        </is>
      </c>
      <c r="E5" s="3" t="inlineStr">
        <is>
          <t>FY2024</t>
        </is>
      </c>
      <c r="F5" s="3" t="inlineStr">
        <is>
          <t>FY2025</t>
        </is>
      </c>
      <c r="G5" s="3" t="inlineStr">
        <is>
          <t>FY2026</t>
        </is>
      </c>
      <c r="H5" s="3" t="inlineStr">
        <is>
          <t>Source</t>
        </is>
      </c>
    </row>
    <row r="6">
      <c r="B6" s="4" t="inlineStr">
        <is>
          <t>Operating profit</t>
        </is>
      </c>
      <c r="C6" s="5" t="n">
        <v>75292</v>
      </c>
      <c r="D6" s="5" t="n">
        <v>83713</v>
      </c>
      <c r="E6" s="5" t="n">
        <v>93797</v>
      </c>
      <c r="F6" s="5" t="n">
        <v>110579</v>
      </c>
      <c r="G6" s="5" t="n">
        <v>123015</v>
      </c>
      <c r="H6" s="6" t="inlineStr">
        <is>
          <t>FY26 AR 'Ten Years at a Glance' (L420-450) 'Operating Result'</t>
        </is>
      </c>
    </row>
    <row r="7">
      <c r="B7" s="4" t="inlineStr">
        <is>
          <t>Net profit</t>
        </is>
      </c>
      <c r="C7" s="5" t="n">
        <v>31676</v>
      </c>
      <c r="D7" s="5" t="n">
        <v>50232</v>
      </c>
      <c r="E7" s="5" t="n">
        <v>61077</v>
      </c>
      <c r="F7" s="5" t="n">
        <v>70901</v>
      </c>
      <c r="G7" s="5" t="n">
        <v>80032</v>
      </c>
      <c r="H7" s="6" t="inlineStr">
        <is>
          <t>FY26 AR 'Ten Years at a Glance' (L420-450) 'Net Profit'</t>
        </is>
      </c>
    </row>
    <row r="8">
      <c r="B8" s="4" t="inlineStr">
        <is>
          <t>RoAA (%)</t>
        </is>
      </c>
      <c r="C8" s="5" t="n">
        <v>0.67</v>
      </c>
      <c r="D8" s="5" t="n">
        <v>0.96</v>
      </c>
      <c r="E8" s="5" t="n">
        <v>1.04</v>
      </c>
      <c r="F8" s="5" t="n">
        <v>1.1</v>
      </c>
      <c r="G8" s="5" t="n">
        <v>1.12</v>
      </c>
      <c r="H8" s="6" t="inlineStr">
        <is>
          <t>FY26 AR 'Ten Years at a Glance' (L420-450) 'Return on Average Assets'</t>
        </is>
      </c>
    </row>
    <row r="9">
      <c r="B9" s="4" t="inlineStr">
        <is>
          <t>RoE (%)</t>
        </is>
      </c>
      <c r="C9" s="5" t="n">
        <v>13.92</v>
      </c>
      <c r="D9" s="5" t="n">
        <v>19.43</v>
      </c>
      <c r="E9" s="5" t="n">
        <v>20.32</v>
      </c>
      <c r="F9" s="5" t="n">
        <v>19.87</v>
      </c>
      <c r="G9" s="5" t="n">
        <v>18.57</v>
      </c>
      <c r="H9" s="6" t="inlineStr">
        <is>
          <t>FY26 AR 'Ten Years at a Glance' (L420-450) 'Return on Equity'</t>
        </is>
      </c>
    </row>
    <row r="10">
      <c r="B10" s="4" t="inlineStr">
        <is>
          <t>Cost-to-income (%)</t>
        </is>
      </c>
      <c r="C10" s="5" t="n">
        <v>53.31</v>
      </c>
      <c r="D10" s="5" t="n">
        <v>53.87</v>
      </c>
      <c r="E10" s="5" t="n">
        <v>55.66</v>
      </c>
      <c r="F10" s="5" t="n">
        <v>51.64</v>
      </c>
      <c r="G10" s="5" t="n">
        <v>50.11</v>
      </c>
      <c r="H10" s="6" t="inlineStr">
        <is>
          <t>FY26 AR 'Ten Years at a Glance' (L420-450) 'Expenses to Income'</t>
        </is>
      </c>
    </row>
    <row r="11">
      <c r="B11" s="4" t="inlineStr">
        <is>
          <t>EPS (Rs)</t>
        </is>
      </c>
      <c r="C11" s="5" t="n">
        <v>35.49</v>
      </c>
      <c r="D11" s="5" t="n">
        <v>56.29</v>
      </c>
      <c r="E11" s="5" t="n">
        <v>68.44</v>
      </c>
      <c r="F11" s="5" t="n">
        <v>79.44</v>
      </c>
      <c r="G11" s="5" t="n">
        <v>87.59</v>
      </c>
      <c r="H11" s="6" t="inlineStr">
        <is>
          <t>FY26 AR 'Ten Years at a Glance' (L420-450) 'Earnings Per Share'</t>
        </is>
      </c>
    </row>
    <row r="12">
      <c r="B12" s="4" t="inlineStr">
        <is>
          <t>DPS (Rs)</t>
        </is>
      </c>
      <c r="C12" s="5" t="n">
        <v>7.1</v>
      </c>
      <c r="D12" s="5" t="n">
        <v>11.3</v>
      </c>
      <c r="E12" s="5" t="n">
        <v>13.7</v>
      </c>
      <c r="F12" s="5" t="n">
        <v>15.9</v>
      </c>
      <c r="G12" s="5" t="n">
        <v>17.35</v>
      </c>
      <c r="H12" s="6" t="inlineStr">
        <is>
          <t>FY26 AR 'Ten Years at a Glance' (L420-450) 'Dividend Per Share'</t>
        </is>
      </c>
    </row>
    <row r="13">
      <c r="B13" s="4" t="inlineStr">
        <is>
          <t>Tier I capital (%)</t>
        </is>
      </c>
      <c r="C13" s="5" t="n">
        <v>11.42</v>
      </c>
      <c r="D13" s="5" t="n">
        <v>12.06</v>
      </c>
      <c r="E13" s="5" t="n">
        <v>11.93</v>
      </c>
      <c r="F13" s="5" t="n">
        <v>12.11</v>
      </c>
      <c r="G13" s="5" t="n">
        <v>13.33</v>
      </c>
      <c r="H13" s="6" t="inlineStr">
        <is>
          <t>FY26 AR 'Ten Years at a Glance' (L420-450) 'Tier I Capital %'</t>
        </is>
      </c>
    </row>
    <row r="14">
      <c r="B14" s="4" t="inlineStr">
        <is>
          <t>Tier II capital (%)</t>
        </is>
      </c>
      <c r="C14" s="5" t="n">
        <v>2.41</v>
      </c>
      <c r="D14" s="5" t="n">
        <v>2.62</v>
      </c>
      <c r="E14" s="5" t="n">
        <v>2.35</v>
      </c>
      <c r="F14" s="5" t="n">
        <v>2.14</v>
      </c>
      <c r="G14" s="5" t="n">
        <v>2.07</v>
      </c>
      <c r="H14" s="6" t="inlineStr">
        <is>
          <t>FY26 AR 'Ten Years at a Glance' (L420-450) 'Tier II Capital %'</t>
        </is>
      </c>
    </row>
    <row r="15">
      <c r="B15" s="4" t="inlineStr">
        <is>
          <t>CRAR as reported (%)</t>
        </is>
      </c>
      <c r="C15" s="5" t="n">
        <v>13.83</v>
      </c>
      <c r="D15" s="5" t="n">
        <v>14.68</v>
      </c>
      <c r="E15" s="5" t="n">
        <v>14.28</v>
      </c>
      <c r="F15" s="5" t="n">
        <v>14.25</v>
      </c>
      <c r="G15" s="5" t="n">
        <v>15.4</v>
      </c>
      <c r="H15" s="6" t="inlineStr">
        <is>
          <t>FY26 AR 'Ten Years at a Glance' (L420-450) 'Basel-III Total Capital %'</t>
        </is>
      </c>
    </row>
    <row r="16">
      <c r="B16" s="4" t="inlineStr">
        <is>
          <t>Gross NPA (Rs cr)</t>
        </is>
      </c>
      <c r="C16" s="5" t="n">
        <v>112023</v>
      </c>
      <c r="D16" s="5" t="n">
        <v>90928</v>
      </c>
      <c r="E16" s="5" t="n">
        <v>84276</v>
      </c>
      <c r="F16" s="5" t="n">
        <v>76880</v>
      </c>
      <c r="G16" s="5" t="n">
        <v>73452</v>
      </c>
      <c r="H16" s="6" t="inlineStr">
        <is>
          <t>FY26 AR asset-quality table (L4282-4286)</t>
        </is>
      </c>
    </row>
    <row r="17">
      <c r="B17" s="4" t="inlineStr">
        <is>
          <t>Gross NPA (%)</t>
        </is>
      </c>
      <c r="C17" s="5" t="n">
        <v>3.97</v>
      </c>
      <c r="D17" s="5" t="n">
        <v>2.78</v>
      </c>
      <c r="E17" s="5" t="n">
        <v>2.24</v>
      </c>
      <c r="F17" s="5" t="n">
        <v>1.82</v>
      </c>
      <c r="G17" s="5" t="n">
        <v>1.49</v>
      </c>
      <c r="H17" s="6" t="inlineStr">
        <is>
          <t>FY26 AR asset-quality table (L4282-4286)</t>
        </is>
      </c>
    </row>
    <row r="18">
      <c r="B18" s="4" t="inlineStr">
        <is>
          <t>Net NPA (Rs cr)</t>
        </is>
      </c>
      <c r="C18" s="5" t="n">
        <v>27966</v>
      </c>
      <c r="D18" s="5" t="n">
        <v>21467</v>
      </c>
      <c r="E18" s="5" t="n">
        <v>21051</v>
      </c>
      <c r="F18" s="5" t="n">
        <v>19667</v>
      </c>
      <c r="G18" s="5" t="n">
        <v>18830</v>
      </c>
      <c r="H18" s="6" t="inlineStr">
        <is>
          <t>FY26 AR asset-quality table (L4282-4286)</t>
        </is>
      </c>
    </row>
    <row r="19">
      <c r="B19" s="4" t="inlineStr">
        <is>
          <t>Net NPA (%)</t>
        </is>
      </c>
      <c r="C19" s="5" t="n">
        <v>1.02</v>
      </c>
      <c r="D19" s="5" t="n">
        <v>0.67</v>
      </c>
      <c r="E19" s="5" t="n">
        <v>0.57</v>
      </c>
      <c r="F19" s="5" t="n">
        <v>0.47</v>
      </c>
      <c r="G19" s="5" t="n">
        <v>0.39</v>
      </c>
      <c r="H19" s="6" t="inlineStr">
        <is>
          <t>FY26 AR asset-quality table (L4282-4286)</t>
        </is>
      </c>
    </row>
    <row r="20">
      <c r="B20" s="4" t="inlineStr">
        <is>
          <t>Fresh slippages (Rs cr)</t>
        </is>
      </c>
      <c r="C20" s="5" t="n">
        <v>26776</v>
      </c>
      <c r="D20" s="5" t="n">
        <v>19224</v>
      </c>
      <c r="E20" s="5" t="n">
        <v>20982</v>
      </c>
      <c r="F20" s="5" t="n">
        <v>22124</v>
      </c>
      <c r="G20" s="5" t="n">
        <v>23804</v>
      </c>
      <c r="H20" s="6" t="inlineStr">
        <is>
          <t>FY26 AR asset-quality table (L4282-4286)</t>
        </is>
      </c>
    </row>
    <row r="21">
      <c r="B21" s="4" t="inlineStr">
        <is>
          <t>Domestic branches (no.)</t>
        </is>
      </c>
      <c r="C21" s="5" t="n">
        <v>22266</v>
      </c>
      <c r="D21" s="5" t="n">
        <v>22405</v>
      </c>
      <c r="E21" s="5" t="n">
        <v>22542</v>
      </c>
      <c r="F21" s="5" t="n">
        <v>22937</v>
      </c>
      <c r="G21" s="5" t="n">
        <v>23265</v>
      </c>
      <c r="H21" s="6" t="inlineStr">
        <is>
          <t>FY26 AR 'Ten Years at a Glance' (L420-450)</t>
        </is>
      </c>
    </row>
    <row r="22">
      <c r="B22" s="4" t="inlineStr">
        <is>
          <t>CET-1 (%) [FY26 only]</t>
        </is>
      </c>
      <c r="C22" s="5" t="n"/>
      <c r="D22" s="5" t="n"/>
      <c r="E22" s="5" t="n"/>
      <c r="F22" s="5" t="n"/>
      <c r="G22" s="5" t="n">
        <v>12.29</v>
      </c>
      <c r="H22" s="6" t="inlineStr">
        <is>
          <t>FY26 AR Chairman's statement (L764-790) 'highest ever level'</t>
        </is>
      </c>
    </row>
    <row r="23">
      <c r="B23" s="4" t="inlineStr">
        <is>
          <t>CASA ratio (%) [domestic]</t>
        </is>
      </c>
      <c r="C23" s="5" t="n"/>
      <c r="D23" s="5" t="n"/>
      <c r="E23" s="5" t="n"/>
      <c r="F23" s="5" t="n"/>
      <c r="G23" s="5" t="n">
        <v>39.46</v>
      </c>
      <c r="H23" s="6" t="inlineStr">
        <is>
          <t>FY26 AR Chairman's statement (L764-790) - DOMESTIC deposit basis</t>
        </is>
      </c>
    </row>
    <row r="24">
      <c r="B24" s="4" t="inlineStr">
        <is>
          <t>Slippage ratio (%) [FY26]</t>
        </is>
      </c>
      <c r="C24" s="5" t="n"/>
      <c r="D24" s="5" t="n"/>
      <c r="E24" s="5" t="n"/>
      <c r="F24" s="5" t="n"/>
      <c r="G24" s="5" t="n">
        <v>0.54</v>
      </c>
      <c r="H24" s="6" t="inlineStr">
        <is>
          <t>FY26 AR Chairman's statement (L764-790) 'contained at'</t>
        </is>
      </c>
    </row>
    <row r="25">
      <c r="B25" s="4" t="inlineStr">
        <is>
          <t>GoI shareholding (%)</t>
        </is>
      </c>
      <c r="C25" s="5" t="n"/>
      <c r="D25" s="5" t="n"/>
      <c r="E25" s="5" t="n"/>
      <c r="F25" s="5" t="n">
        <v>56.92</v>
      </c>
      <c r="G25" s="5" t="n">
        <v>55.03</v>
      </c>
      <c r="H25" s="6" t="inlineStr">
        <is>
          <t>FY26 AR L11698</t>
        </is>
      </c>
    </row>
  </sheetData>
  <mergeCells count="1">
    <mergeCell ref="B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6" customWidth="1" min="8" max="8"/>
    <col width="52" customWidth="1" min="9" max="9"/>
  </cols>
  <sheetData>
    <row r="2">
      <c r="B2" s="1" t="inlineStr">
        <is>
          <t>State Bank of India - ratio suite (Consolidated, Rs crore; agency conventions applied)</t>
        </is>
      </c>
    </row>
    <row r="3" ht="42" customHeight="1">
      <c r="B3" s="2" t="inlineStr">
        <is>
          <t>Every value is a LIVE FORMULA referencing the Inputs sheet - click any cell to see the arithmetic. 'Calculation' states the same formula in words; 'Convention' records the definitional choice (lease treatment, normalisation, netting) so the basis is auditable.</t>
        </is>
      </c>
    </row>
    <row r="5">
      <c r="B5" s="3" t="inlineStr">
        <is>
          <t>Ratio</t>
        </is>
      </c>
      <c r="C5" s="3" t="inlineStr">
        <is>
          <t>FY2022</t>
        </is>
      </c>
      <c r="D5" s="3" t="inlineStr">
        <is>
          <t>FY2023</t>
        </is>
      </c>
      <c r="E5" s="3" t="inlineStr">
        <is>
          <t>FY2024</t>
        </is>
      </c>
      <c r="F5" s="3" t="inlineStr">
        <is>
          <t>FY2025</t>
        </is>
      </c>
      <c r="G5" s="3" t="inlineStr">
        <is>
          <t>FY2026</t>
        </is>
      </c>
      <c r="H5" s="3" t="inlineStr">
        <is>
          <t>Calculation</t>
        </is>
      </c>
      <c r="I5" s="3" t="inlineStr">
        <is>
          <t>Convention / note</t>
        </is>
      </c>
    </row>
    <row r="6">
      <c r="B6" s="4" t="inlineStr">
        <is>
          <t>CRAR cross-check (Tier I + Tier II)</t>
        </is>
      </c>
      <c r="C6" s="7">
        <f>Inputs!C13+Inputs!C14</f>
        <v>13.83</v>
      </c>
      <c r="D6" s="7">
        <f>Inputs!D13+Inputs!D14</f>
        <v>14.68</v>
      </c>
      <c r="E6" s="7">
        <f>Inputs!E13+Inputs!E14</f>
        <v>14.28</v>
      </c>
      <c r="F6" s="7">
        <f>Inputs!F13+Inputs!F14</f>
        <v>14.25</v>
      </c>
      <c r="G6" s="7">
        <f>Inputs!G13+Inputs!G14</f>
        <v>15.4</v>
      </c>
      <c r="H6" s="6" t="inlineStr">
        <is>
          <t>Must equal reported CRAR - independent reconstruction of the capital stack</t>
        </is>
      </c>
    </row>
    <row r="7">
      <c r="B7" s="4" t="inlineStr">
        <is>
          <t>Capital buffer over D-SIB minimum (pp)</t>
        </is>
      </c>
      <c r="C7" s="8">
        <f>Inputs!C15-12.3</f>
        <v>1.5299999999999994</v>
      </c>
      <c r="D7" s="8">
        <f>Inputs!D15-12.3</f>
        <v>2.379999999999999</v>
      </c>
      <c r="E7" s="8">
        <f>Inputs!E15-12.3</f>
        <v>1.9799999999999986</v>
      </c>
      <c r="F7" s="8">
        <f>Inputs!F15-12.3</f>
        <v>1.9499999999999993</v>
      </c>
      <c r="G7" s="8">
        <f>Inputs!G15-12.3</f>
        <v>3.0999999999999996</v>
      </c>
      <c r="H7" s="6" t="inlineStr">
        <is>
          <t>Reported CRAR less the 12.3% D-SIB requirement (11.5% + 0.80% surcharge)</t>
        </is>
      </c>
    </row>
    <row r="8">
      <c r="B8" s="4" t="inlineStr">
        <is>
          <t>Implied PCR excl. AUCA (%)</t>
        </is>
      </c>
      <c r="C8" s="9">
        <f>(Inputs!C16-Inputs!C18)/Inputs!C16</f>
        <v>0.7503548378457995</v>
      </c>
      <c r="D8" s="9">
        <f>(Inputs!D16-Inputs!D18)/Inputs!D16</f>
        <v>0.7639121062818933</v>
      </c>
      <c r="E8" s="9">
        <f>(Inputs!E16-Inputs!E18)/Inputs!E16</f>
        <v>0.7502135839384878</v>
      </c>
      <c r="F8" s="9">
        <f>(Inputs!F16-Inputs!F18)/Inputs!F16</f>
        <v>0.7441857440166493</v>
      </c>
      <c r="G8" s="9">
        <f>(Inputs!G16-Inputs!G18)/Inputs!G16</f>
        <v>0.743642106409628</v>
      </c>
      <c r="H8" s="6" t="inlineStr">
        <is>
          <t>Provision coverage derived from the GNPA/NNPA stock - FY26 ties to reported 74.36%</t>
        </is>
      </c>
    </row>
    <row r="9">
      <c r="B9" s="4" t="inlineStr">
        <is>
          <t>Net NPA / Gross NPA (%)</t>
        </is>
      </c>
      <c r="C9" s="9">
        <f>Inputs!C18/Inputs!C16</f>
        <v>0.2496451621542005</v>
      </c>
      <c r="D9" s="9">
        <f>Inputs!D18/Inputs!D16</f>
        <v>0.23608789371810662</v>
      </c>
      <c r="E9" s="9">
        <f>Inputs!E18/Inputs!E16</f>
        <v>0.24978641606151217</v>
      </c>
      <c r="F9" s="9">
        <f>Inputs!F18/Inputs!F16</f>
        <v>0.25581425598335067</v>
      </c>
      <c r="G9" s="9">
        <f>Inputs!G18/Inputs!G16</f>
        <v>0.2563578935903719</v>
      </c>
      <c r="H9" s="6" t="inlineStr">
        <is>
          <t>Residual uncovered share of the bad-loan book</t>
        </is>
      </c>
    </row>
    <row r="10">
      <c r="B10" s="4" t="inlineStr">
        <is>
          <t>Net profit growth (%)</t>
        </is>
      </c>
      <c r="C10" s="9">
        <f>Inputs!C7/OFFSET(Inputs!C7,0,-1)-1</f>
        <v/>
      </c>
      <c r="D10" s="9">
        <f>Inputs!D7/OFFSET(Inputs!D7,0,-1)-1</f>
        <v/>
      </c>
      <c r="E10" s="9">
        <f>Inputs!E7/OFFSET(Inputs!E7,0,-1)-1</f>
        <v/>
      </c>
      <c r="F10" s="9">
        <f>Inputs!F7/OFFSET(Inputs!F7,0,-1)-1</f>
        <v/>
      </c>
      <c r="G10" s="9">
        <f>Inputs!G7/OFFSET(Inputs!G7,0,-1)-1</f>
        <v/>
      </c>
      <c r="H10" s="6" t="inlineStr">
        <is>
          <t>YoY growth in net profit</t>
        </is>
      </c>
    </row>
    <row r="11">
      <c r="B11" s="4" t="inlineStr">
        <is>
          <t>Operating profit growth (%)</t>
        </is>
      </c>
      <c r="C11" s="9">
        <f>Inputs!C6/OFFSET(Inputs!C6,0,-1)-1</f>
        <v/>
      </c>
      <c r="D11" s="9">
        <f>Inputs!D6/OFFSET(Inputs!D6,0,-1)-1</f>
        <v/>
      </c>
      <c r="E11" s="9">
        <f>Inputs!E6/OFFSET(Inputs!E6,0,-1)-1</f>
        <v/>
      </c>
      <c r="F11" s="9">
        <f>Inputs!F6/OFFSET(Inputs!F6,0,-1)-1</f>
        <v/>
      </c>
      <c r="G11" s="9">
        <f>Inputs!G6/OFFSET(Inputs!G6,0,-1)-1</f>
        <v/>
      </c>
      <c r="H11" s="6" t="inlineStr">
        <is>
          <t>YoY growth in pre-provision operating profit</t>
        </is>
      </c>
    </row>
    <row r="12">
      <c r="B12" s="4" t="inlineStr">
        <is>
          <t>Dividend payout (%)</t>
        </is>
      </c>
      <c r="C12" s="9">
        <f>Inputs!C12/Inputs!C11</f>
        <v>0.20005635390250773</v>
      </c>
      <c r="D12" s="9">
        <f>Inputs!D12/Inputs!D11</f>
        <v>0.20074613608100908</v>
      </c>
      <c r="E12" s="9">
        <f>Inputs!E12/Inputs!E11</f>
        <v>0.20017533606078317</v>
      </c>
      <c r="F12" s="9">
        <f>Inputs!F12/Inputs!F11</f>
        <v>0.2001510574018127</v>
      </c>
      <c r="G12" s="9">
        <f>Inputs!G12/Inputs!G11</f>
        <v>0.1980819728279484</v>
      </c>
      <c r="H12" s="6" t="inlineStr">
        <is>
          <t>DPS / EPS - tests the ~20% payout policy</t>
        </is>
      </c>
    </row>
    <row r="13">
      <c r="B13" s="4" t="inlineStr">
        <is>
          <t>Slippages / opening Gross NPA (%)</t>
        </is>
      </c>
      <c r="C13" s="9">
        <f>Inputs!C20/OFFSET(Inputs!C16,0,-1)</f>
        <v/>
      </c>
      <c r="D13" s="9">
        <f>Inputs!D20/OFFSET(Inputs!D16,0,-1)</f>
        <v/>
      </c>
      <c r="E13" s="9">
        <f>Inputs!E20/OFFSET(Inputs!E16,0,-1)</f>
        <v/>
      </c>
      <c r="F13" s="9">
        <f>Inputs!F20/OFFSET(Inputs!F16,0,-1)</f>
        <v/>
      </c>
      <c r="G13" s="9">
        <f>Inputs!G20/OFFSET(Inputs!G16,0,-1)</f>
        <v/>
      </c>
      <c r="H13" s="6" t="inlineStr">
        <is>
          <t>Fresh slippage relative to the opening stressed stock</t>
        </is>
      </c>
    </row>
    <row r="14">
      <c r="B14" s="4" t="inlineStr">
        <is>
          <t>RoAA (%)  [SECTOR-DEFINING]</t>
        </is>
      </c>
      <c r="C14" s="7">
        <f>Inputs!C8</f>
        <v>0.67</v>
      </c>
      <c r="D14" s="7">
        <f>Inputs!D8</f>
        <v>0.96</v>
      </c>
      <c r="E14" s="7">
        <f>Inputs!E8</f>
        <v>1.04</v>
      </c>
      <c r="F14" s="7">
        <f>Inputs!F8</f>
        <v>1.1</v>
      </c>
      <c r="G14" s="7">
        <f>Inputs!G8</f>
        <v>1.12</v>
      </c>
      <c r="H14" s="6" t="inlineStr">
        <is>
          <t>Return on average assets - the core bank profitability metric</t>
        </is>
      </c>
    </row>
    <row r="15">
      <c r="B15" s="4" t="inlineStr">
        <is>
          <t>RoE (%)</t>
        </is>
      </c>
      <c r="C15" s="7">
        <f>Inputs!C9</f>
        <v>13.92</v>
      </c>
      <c r="D15" s="7">
        <f>Inputs!D9</f>
        <v>19.43</v>
      </c>
      <c r="E15" s="7">
        <f>Inputs!E9</f>
        <v>20.32</v>
      </c>
      <c r="F15" s="7">
        <f>Inputs!F9</f>
        <v>19.87</v>
      </c>
      <c r="G15" s="7">
        <f>Inputs!G9</f>
        <v>18.57</v>
      </c>
      <c r="H15" s="6" t="inlineStr">
        <is>
          <t>Return on equity</t>
        </is>
      </c>
    </row>
    <row r="16">
      <c r="B16" s="4" t="inlineStr">
        <is>
          <t>Cost-to-income (%)</t>
        </is>
      </c>
      <c r="C16" s="7">
        <f>Inputs!C10</f>
        <v>53.31</v>
      </c>
      <c r="D16" s="7">
        <f>Inputs!D10</f>
        <v>53.87</v>
      </c>
      <c r="E16" s="7">
        <f>Inputs!E10</f>
        <v>55.66</v>
      </c>
      <c r="F16" s="7">
        <f>Inputs!F10</f>
        <v>51.64</v>
      </c>
      <c r="G16" s="7">
        <f>Inputs!G10</f>
        <v>50.11</v>
      </c>
      <c r="H16" s="6" t="inlineStr">
        <is>
          <t>Operating expenses / net total income</t>
        </is>
      </c>
    </row>
    <row r="17">
      <c r="B17" s="4" t="inlineStr">
        <is>
          <t>Gross NPA (%)  [SECTOR-DEFINING]</t>
        </is>
      </c>
      <c r="C17" s="7">
        <f>Inputs!C17</f>
        <v>3.97</v>
      </c>
      <c r="D17" s="7">
        <f>Inputs!D17</f>
        <v>2.78</v>
      </c>
      <c r="E17" s="7">
        <f>Inputs!E17</f>
        <v>2.24</v>
      </c>
      <c r="F17" s="7">
        <f>Inputs!F17</f>
        <v>1.82</v>
      </c>
      <c r="G17" s="7">
        <f>Inputs!G17</f>
        <v>1.49</v>
      </c>
      <c r="H17" s="6" t="inlineStr">
        <is>
          <t>Headline asset-quality metric</t>
        </is>
      </c>
    </row>
    <row r="18">
      <c r="B18" s="4" t="inlineStr">
        <is>
          <t>Net NPA (%)  [SECTOR-DEFINING]</t>
        </is>
      </c>
      <c r="C18" s="7">
        <f>Inputs!C19</f>
        <v>1.02</v>
      </c>
      <c r="D18" s="7">
        <f>Inputs!D19</f>
        <v>0.67</v>
      </c>
      <c r="E18" s="7">
        <f>Inputs!E19</f>
        <v>0.57</v>
      </c>
      <c r="F18" s="7">
        <f>Inputs!F19</f>
        <v>0.47</v>
      </c>
      <c r="G18" s="7">
        <f>Inputs!G19</f>
        <v>0.39</v>
      </c>
      <c r="H18" s="6" t="inlineStr">
        <is>
          <t>Asset quality net of provisions</t>
        </is>
      </c>
    </row>
  </sheetData>
  <mergeCells count="1">
    <mergeCell ref="B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4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3" max="3"/>
    <col width="18" customWidth="1" min="4" max="4"/>
    <col width="12" customWidth="1" min="5" max="5"/>
    <col width="60" customWidth="1" min="6" max="6"/>
  </cols>
  <sheetData>
    <row r="2">
      <c r="B2" s="1" t="inlineStr">
        <is>
          <t>State Bank of India - tie-out to company-disclosed figures</t>
        </is>
      </c>
    </row>
    <row r="3" ht="42" customHeight="1">
      <c r="B3" s="2" t="inlineStr">
        <is>
          <t>Binding gate (CLAUDE.md Step 6): headline computed figures must reconcile to the company's OWN disclosed numbers before the workpaper is issued. PASS/FAIL is itself a formula - it re-evaluates if any input changes.</t>
        </is>
      </c>
    </row>
    <row r="5">
      <c r="B5" s="3" t="inlineStr">
        <is>
          <t>Check</t>
        </is>
      </c>
      <c r="C5" s="3" t="inlineStr">
        <is>
          <t>Computed</t>
        </is>
      </c>
      <c r="D5" s="3" t="inlineStr">
        <is>
          <t>Company-disclosed</t>
        </is>
      </c>
      <c r="E5" s="3" t="inlineStr">
        <is>
          <t>Result</t>
        </is>
      </c>
      <c r="F5" s="3" t="inlineStr">
        <is>
          <t>Note</t>
        </is>
      </c>
    </row>
    <row r="6">
      <c r="B6" s="4" t="inlineStr">
        <is>
          <t>FY26 CRAR = Tier I + Tier II</t>
        </is>
      </c>
      <c r="C6" s="10">
        <f>Inputs!G13+Inputs!G14</f>
        <v>15.4</v>
      </c>
      <c r="D6" s="10" t="n">
        <v>15.4</v>
      </c>
      <c r="E6" s="11">
        <f>IF(ABS(C6-D6)&lt;=MAX(1,ABS(D6)*0.005),"PASS","CHECK")</f>
        <v/>
      </c>
      <c r="F6" s="6" t="inlineStr">
        <is>
          <t>13.33 + 2.07; reported CRAR is 15.40% - exact reconstruction of the capital stack</t>
        </is>
      </c>
    </row>
    <row r="7">
      <c r="B7" s="4" t="inlineStr">
        <is>
          <t>FY26 net profit</t>
        </is>
      </c>
      <c r="C7" s="10">
        <f>Inputs!G7</f>
        <v>80032.0</v>
      </c>
      <c r="D7" s="10" t="n">
        <v>80032</v>
      </c>
      <c r="E7" s="11">
        <f>IF(ABS(C7-D7)&lt;=MAX(1,ABS(D7)*0.005),"PASS","CHECK")</f>
        <v/>
      </c>
      <c r="F7" s="6" t="inlineStr">
        <is>
          <t>Chairman's statement: net profit grew 12.88% to Rs 80,032 crore</t>
        </is>
      </c>
    </row>
    <row r="8">
      <c r="B8" s="4" t="inlineStr">
        <is>
          <t>FY26 net profit growth</t>
        </is>
      </c>
      <c r="C8" s="10">
        <f>Inputs!G7/Inputs!F7-1</f>
        <v>0.1287852075429119</v>
      </c>
      <c r="D8" s="10" t="n">
        <v>0.1288</v>
      </c>
      <c r="E8" s="11">
        <f>IF(ABS(C8-D8)&lt;=MAX(1,ABS(D8)*0.005),"PASS","CHECK")</f>
        <v/>
      </c>
      <c r="F8" s="6" t="inlineStr">
        <is>
          <t>Independently derived 12.88% matches the stated growth exactly</t>
        </is>
      </c>
    </row>
    <row r="9">
      <c r="B9" s="4" t="inlineStr">
        <is>
          <t>FY26 operating profit growth</t>
        </is>
      </c>
      <c r="C9" s="10">
        <f>Inputs!G6/Inputs!F6-1</f>
        <v>0.11246258331147874</v>
      </c>
      <c r="D9" s="10" t="n">
        <v>0.1125</v>
      </c>
      <c r="E9" s="11">
        <f>IF(ABS(C9-D9)&lt;=MAX(1,ABS(D9)*0.005),"PASS","CHECK")</f>
        <v/>
      </c>
      <c r="F9" s="6" t="inlineStr">
        <is>
          <t>Independently derived 11.25% matches the stated growth exactly</t>
        </is>
      </c>
    </row>
    <row r="10">
      <c r="B10" s="4" t="inlineStr">
        <is>
          <t>FY26 implied PCR excl. AUCA</t>
        </is>
      </c>
      <c r="C10" s="10">
        <f>(Inputs!G16-Inputs!G18)/Inputs!G16</f>
        <v>0.743642106409628</v>
      </c>
      <c r="D10" s="10" t="n">
        <v>0.7436</v>
      </c>
      <c r="E10" s="11">
        <f>IF(ABS(C10-D10)&lt;=MAX(1,ABS(D10)*0.005),"PASS","CHECK")</f>
        <v/>
      </c>
      <c r="F10" s="6" t="inlineStr">
        <is>
          <t>Derived from the NPA stock; the Bank reports PCR of 74.36% without AUCA - exact match</t>
        </is>
      </c>
    </row>
    <row r="11">
      <c r="B11" s="4" t="inlineStr">
        <is>
          <t>FY26 GNPA improvement (pp)</t>
        </is>
      </c>
      <c r="C11" s="10">
        <f>Inputs!G17-Inputs!F17</f>
        <v>-0.33000000000000007</v>
      </c>
      <c r="D11" s="10" t="n">
        <v>-0.33</v>
      </c>
      <c r="E11" s="11">
        <f>IF(ABS(C11-D11)&lt;=MAX(1,ABS(D11)*0.005),"PASS","CHECK")</f>
        <v/>
      </c>
      <c r="F11" s="6" t="inlineStr">
        <is>
          <t>Stated as 'an improvement of 33 bps YoY' - reconciles</t>
        </is>
      </c>
    </row>
    <row r="12">
      <c r="B12" s="4" t="inlineStr">
        <is>
          <t>FY26 dividend payout</t>
        </is>
      </c>
      <c r="C12" s="10">
        <f>Inputs!G12/Inputs!G11</f>
        <v>0.1980819728279484</v>
      </c>
      <c r="D12" s="10" t="n">
        <v>0.1981</v>
      </c>
      <c r="E12" s="11">
        <f>IF(ABS(C12-D12)&lt;=MAX(1,ABS(D12)*0.005),"PASS","CHECK")</f>
        <v/>
      </c>
      <c r="F12" s="6" t="inlineStr">
        <is>
          <t>Rs 17.35 / Rs 87.59; the ten-year table reports payout of 20.01% - reconciles to rounding</t>
        </is>
      </c>
    </row>
    <row r="14">
      <c r="B14" s="12" t="inlineStr">
        <is>
          <t>Tolerance: 0.5% of the disclosed figure, floor Rs 1 - tighter than rounding, loose enough for basis differences.</t>
        </is>
      </c>
    </row>
  </sheetData>
  <mergeCells count="1">
    <mergeCell ref="B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34" customWidth="1" min="2" max="2"/>
    <col width="12" customWidth="1" min="3" max="3"/>
    <col width="10" customWidth="1" min="4" max="4"/>
    <col width="12" customWidth="1" min="5" max="5"/>
    <col width="70" customWidth="1" min="6" max="6"/>
  </cols>
  <sheetData>
    <row r="2">
      <c r="B2" s="1" t="inlineStr">
        <is>
          <t>State Bank of India - rating scorecard and view</t>
        </is>
      </c>
    </row>
    <row r="3" ht="42" customHeight="1">
      <c r="B3" s="2" t="inlineStr">
        <is>
          <t>Factor scores 1 (strongest) to 6 (weakest), weighted to a composite. The anchor is a SCREENING cross-check with a +/-2 notch band, NOT the rating - the analyst view and any divergence are stated below and the divergence must be explained, never buried.</t>
        </is>
      </c>
    </row>
    <row r="5">
      <c r="B5" s="3" t="inlineStr">
        <is>
          <t>Rating factor</t>
        </is>
      </c>
      <c r="C5" s="3" t="inlineStr">
        <is>
          <t>Score (1-6)</t>
        </is>
      </c>
      <c r="D5" s="3" t="inlineStr">
        <is>
          <t>Weight</t>
        </is>
      </c>
      <c r="E5" s="3" t="inlineStr">
        <is>
          <t>Weighted</t>
        </is>
      </c>
      <c r="F5" s="3" t="inlineStr">
        <is>
          <t>Justification</t>
        </is>
      </c>
    </row>
    <row r="6">
      <c r="B6" s="4" t="inlineStr">
        <is>
          <t>Sovereign ownership and systemic importance</t>
        </is>
      </c>
      <c r="C6" s="13" t="n">
        <v>1</v>
      </c>
      <c r="D6" s="14" t="n">
        <v>0.4</v>
      </c>
      <c r="E6" s="15">
        <f>C6*D6</f>
        <v>0.4</v>
      </c>
      <c r="F6" s="6" t="inlineStr">
        <is>
          <t>Government of India holds 55.03% (FY2026; 56.92% FY2025) and SBI is designated a Domestic Systemically Important Bank by the RBI, carrying an additional 0.80% CET-1 surcharge from 01-Apr-2025. Support expectation is the dominant rating factor: SBI is the largest bank in the country with a balance sheet above Rs 76 lakh crore and total business above Rs 109 lakh crore.</t>
        </is>
      </c>
    </row>
    <row r="7">
      <c r="B7" s="4" t="inlineStr">
        <is>
          <t>Market position and deposit franchise</t>
        </is>
      </c>
      <c r="C7" s="13" t="n">
        <v>1</v>
      </c>
      <c r="D7" s="14" t="n">
        <v>0.2</v>
      </c>
      <c r="E7" s="15">
        <f>C7*D7</f>
        <v>0.2</v>
      </c>
      <c r="F7" s="6" t="inlineStr">
        <is>
          <t>Largest Indian bank by every measure: deposits Rs 59.76 lakh crore (+11.03%), advances Rs 49.33 lakh crore (+16.87%), 23,265 domestic branches and 245 foreign offices. CASA ratio of 39.46% on domestic deposits is a structural funding advantage; retail banking supplies 88.27% of deposits.</t>
        </is>
      </c>
    </row>
    <row r="8">
      <c r="B8" s="4" t="inlineStr">
        <is>
          <t>Asset quality</t>
        </is>
      </c>
      <c r="C8" s="13" t="n">
        <v>1</v>
      </c>
      <c r="D8" s="14" t="n">
        <v>0.15</v>
      </c>
      <c r="E8" s="15">
        <f>C8*D8</f>
        <v>0.15</v>
      </c>
      <c r="F8" s="6" t="inlineStr">
        <is>
          <t>Gross NPA 1.49% (-33 bps YoY) and net NPA 0.39% (-8 bps), the best in the ten-year series and down from 4.98% / 1.50% in FY2021. Provision coverage 74.36% excluding AUCA and 99.01% including it; slippage ratio contained at 0.54%.</t>
        </is>
      </c>
    </row>
    <row r="9">
      <c r="B9" s="4" t="inlineStr">
        <is>
          <t>Capitalisation</t>
        </is>
      </c>
      <c r="C9" s="13" t="n">
        <v>2</v>
      </c>
      <c r="D9" s="14" t="n">
        <v>0.15</v>
      </c>
      <c r="E9" s="15">
        <f>C9*D9</f>
        <v>0.3</v>
      </c>
      <c r="F9" s="6" t="inlineStr">
        <is>
          <t>CRAR 15.40% against a 12.30% D-SIB requirement, a 310 bps buffer, and CET-1 at a record 12.29%. Capital has been built through accretion - Tier I rose to 13.33% from 12.11%. Scored 2 rather than 1 because the buffer, while comfortable, is thinner than the best-capitalised private peers against 16.87% advances growth.</t>
        </is>
      </c>
    </row>
    <row r="10">
      <c r="B10" s="4" t="inlineStr">
        <is>
          <t>Earnings profile</t>
        </is>
      </c>
      <c r="C10" s="13" t="n">
        <v>2</v>
      </c>
      <c r="D10" s="14" t="n">
        <v>0.1</v>
      </c>
      <c r="E10" s="15">
        <f>C10*D10</f>
        <v>0.2</v>
      </c>
      <c r="F10" s="6" t="inlineStr">
        <is>
          <t>Net profit Rs 80,032 crore (+12.88%), operating profit Rs 1.23 lakh crore (+11.25%), RoAA 1.12% and cost-to-income improved to 50.11%. RoE of 18.57% is strong but has eased from 20.32% in FY2024, and NII growth of 4.08% materially lagged advances growth of 16.87% - margin compression is the one clear negative trend in the FY2026 numbers.</t>
        </is>
      </c>
    </row>
    <row r="11">
      <c r="B11" s="16" t="inlineStr">
        <is>
          <t>Weight check (must be 100%)</t>
        </is>
      </c>
      <c r="D11" s="17">
        <f>SUM(D6:D10)</f>
        <v>1.0000000000000002</v>
      </c>
      <c r="E11" s="18">
        <f>SUM(E6:E10)</f>
        <v>1.25</v>
      </c>
      <c r="F11" s="16">
        <f>IF(ABS(D11-1)&lt;0.001,"weights sum to 100%","ERROR: weights must sum to 100%")</f>
        <v/>
      </c>
    </row>
    <row r="13" ht="16" customHeight="1">
      <c r="B13" s="16" t="inlineStr">
        <is>
          <t>Weighted composite score</t>
        </is>
      </c>
      <c r="C13" s="19">
        <f>E11</f>
        <v>1.25</v>
      </c>
    </row>
    <row r="14" ht="16" customHeight="1">
      <c r="B14" s="16" t="inlineStr">
        <is>
          <t>Indicative anchor grade (screening only, +/-2 band)</t>
        </is>
      </c>
      <c r="C14" s="19" t="inlineStr">
        <is>
          <t>AAA band (composite 1.25 - highest investment grade)</t>
        </is>
      </c>
    </row>
    <row r="15" ht="16" customHeight="1">
      <c r="B15" s="16" t="inlineStr">
        <is>
          <t>ANALYST RATING VIEW</t>
        </is>
      </c>
      <c r="C15" s="20" t="inlineStr">
        <is>
          <t>Crisil AAA / Stable  -  Crisil A1+</t>
        </is>
      </c>
    </row>
    <row r="16" ht="30" customHeight="1">
      <c r="B16" s="16" t="inlineStr">
        <is>
          <t>Divergence from anchor - explanation</t>
        </is>
      </c>
      <c r="C16" s="19" t="inlineStr">
        <is>
          <t>TO BE COMPLETED AT STEP 14 - this view was formed from the issuer's own disclosures before opening the CRISIL rationale of 05-Mar-2026 or the CareEdge rationale of 13-Oct-2025, both of which the pre-flight confirmed exist.</t>
        </is>
      </c>
    </row>
  </sheetData>
  <mergeCells count="5">
    <mergeCell ref="C13:F13"/>
    <mergeCell ref="C16:F16"/>
    <mergeCell ref="C15:F15"/>
    <mergeCell ref="B3:E3"/>
    <mergeCell ref="C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2026-08-14T11:50:55Z</dcterms:created>
  <dcterms:modified xmlns:dcterms="http://purl.org/dc/terms/" xmlns:xsi="http://www.w3.org/2001/XMLSchema-instance" xsi:type="dcterms:W3CDTF">2026-08-14T11:50:55Z</dcterms:modified>
</cp:coreProperties>
</file>