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Ref_Scales" sheetId="3" state="visible" r:id="rId3"/>
    <sheet xmlns:r="http://schemas.openxmlformats.org/officeDocument/2006/relationships" name="Ref_Weights" sheetId="4" state="visible" r:id="rId4"/>
    <sheet xmlns:r="http://schemas.openxmlformats.org/officeDocument/2006/relationships" name="Ref_Bands" sheetId="5" state="visible" r:id="rId5"/>
    <sheet xmlns:r="http://schemas.openxmlformats.org/officeDocument/2006/relationships" name="Ref_Bands_Fin" sheetId="6" state="visible" r:id="rId6"/>
    <sheet xmlns:r="http://schemas.openxmlformats.org/officeDocument/2006/relationships" name="Ref_Qualitative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0.0%;(0.0%);&quot;-&quot;"/>
    <numFmt numFmtId="166" formatCode="0.00x;(0.00x);&quot;-&quot;"/>
    <numFmt numFmtId="167" formatCode="0.0"/>
    <numFmt numFmtId="168" formatCode="0.0%"/>
    <numFmt numFmtId="169" formatCode="0.000"/>
  </numFmts>
  <fonts count="24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sz val="10"/>
    </font>
    <font>
      <name val="Arial"/>
      <i val="1"/>
      <color rgb="0068738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B2A4A"/>
      <sz val="16"/>
    </font>
    <font>
      <b val="1"/>
      <sz val="12"/>
    </font>
    <font>
      <b val="1"/>
    </font>
    <font>
      <b val="1"/>
      <color rgb="00FFFFFF"/>
    </font>
    <font>
      <b val="1"/>
      <color rgb="001B2A4A"/>
    </font>
    <font>
      <b val="1"/>
      <color rgb="00FFFFFF"/>
      <sz val="11"/>
    </font>
    <font>
      <b val="1"/>
      <color rgb="001B2A4A"/>
      <sz val="16"/>
    </font>
    <font>
      <b val="1"/>
      <color rgb="001B2A4A"/>
      <sz val="12"/>
    </font>
    <font>
      <i val="1"/>
      <color rgb="006B7891"/>
      <sz val="9"/>
    </font>
    <font>
      <b val="1"/>
      <color rgb="001F3864"/>
      <sz val="14"/>
    </font>
    <font>
      <i val="1"/>
      <sz val="9"/>
    </font>
    <font>
      <i val="1"/>
      <sz val="8"/>
    </font>
    <font>
      <b val="1"/>
      <color rgb="001F3864"/>
      <sz val="11"/>
    </font>
    <font>
      <b val="1"/>
      <color rgb="001F3864"/>
      <sz val="12"/>
    </font>
    <font>
      <b val="1"/>
      <color rgb="001F3864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E2F3E6"/>
      </patternFill>
    </fill>
    <fill>
      <patternFill patternType="solid">
        <fgColor rgb="00FFF4E5"/>
      </patternFill>
    </fill>
    <fill>
      <patternFill patternType="solid">
        <fgColor rgb="000E7C7B"/>
      </patternFill>
    </fill>
    <fill>
      <patternFill patternType="solid">
        <fgColor rgb="001F3864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6" fillId="3" borderId="1" pivotButton="0" quotePrefix="0" xfId="0"/>
    <xf numFmtId="0" fontId="5" fillId="2" borderId="1" applyAlignment="1" pivotButton="0" quotePrefix="0" xfId="0">
      <alignment horizontal="center"/>
    </xf>
    <xf numFmtId="165" fontId="6" fillId="3" borderId="1" pivotButton="0" quotePrefix="0" xfId="0"/>
    <xf numFmtId="1" fontId="6" fillId="3" borderId="1" pivotButton="0" quotePrefix="0" xfId="0"/>
    <xf numFmtId="164" fontId="3" fillId="0" borderId="1" pivotButton="0" quotePrefix="0" xfId="0"/>
    <xf numFmtId="0" fontId="8" fillId="0" borderId="0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" fontId="3" fillId="0" borderId="1" pivotButton="0" quotePrefix="0" xfId="0"/>
    <xf numFmtId="2" fontId="8" fillId="0" borderId="1" pivotButton="0" quotePrefix="0" xfId="0"/>
    <xf numFmtId="2" fontId="3" fillId="0" borderId="1" pivotButton="0" quotePrefix="0" xfId="0"/>
    <xf numFmtId="165" fontId="8" fillId="0" borderId="1" pivotButton="0" quotePrefix="0" xfId="0"/>
    <xf numFmtId="0" fontId="3" fillId="0" borderId="0" pivotButton="0" quotePrefix="0" xfId="0"/>
    <xf numFmtId="2" fontId="7" fillId="4" borderId="1" pivotButton="0" quotePrefix="0" xfId="0"/>
    <xf numFmtId="0" fontId="7" fillId="4" borderId="1" pivotButton="0" quotePrefix="0" xfId="0"/>
    <xf numFmtId="0" fontId="9" fillId="4" borderId="1" pivotButton="0" quotePrefix="0" xfId="0"/>
    <xf numFmtId="164" fontId="8" fillId="0" borderId="1" pivotButton="0" quotePrefix="0" xfId="0"/>
    <xf numFmtId="167" fontId="6" fillId="3" borderId="1" pivotButton="0" quotePrefix="0" xfId="0"/>
    <xf numFmtId="2" fontId="6" fillId="3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7" fontId="6" fillId="3" borderId="1" pivotButton="0" quotePrefix="0" xfId="0"/>
    <xf numFmtId="168" fontId="6" fillId="3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2" borderId="0" pivotButton="0" quotePrefix="0" xfId="0"/>
    <xf numFmtId="0" fontId="13" fillId="0" borderId="0" pivotButton="0" quotePrefix="0" xfId="0"/>
    <xf numFmtId="0" fontId="0" fillId="5" borderId="0" pivotButton="0" quotePrefix="0" xfId="0"/>
    <xf numFmtId="0" fontId="14" fillId="6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0" borderId="1" pivotButton="0" quotePrefix="0" xfId="0"/>
    <xf numFmtId="0" fontId="17" fillId="0" borderId="1" applyAlignment="1" pivotButton="0" quotePrefix="0" xfId="0">
      <alignment vertical="top" wrapText="1"/>
    </xf>
    <xf numFmtId="0" fontId="14" fillId="2" borderId="1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vertical="top" wrapText="1"/>
    </xf>
    <xf numFmtId="0" fontId="17" fillId="4" borderId="1" pivotButton="0" quotePrefix="0" xfId="0"/>
    <xf numFmtId="0" fontId="14" fillId="2" borderId="0" pivotButton="0" quotePrefix="0" xfId="0"/>
    <xf numFmtId="0" fontId="5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13" fillId="0" borderId="1" pivotButton="0" quotePrefix="0" xfId="0"/>
    <xf numFmtId="0" fontId="14" fillId="6" borderId="1" pivotButton="0" quotePrefix="0" xfId="0"/>
    <xf numFmtId="166" fontId="8" fillId="0" borderId="1" applyAlignment="1" pivotButton="0" quotePrefix="0" xfId="0">
      <alignment vertical="top" wrapText="1"/>
    </xf>
    <xf numFmtId="0" fontId="18" fillId="0" borderId="0" pivotButton="0" quotePrefix="0" xfId="0"/>
    <xf numFmtId="0" fontId="19" fillId="0" borderId="0" pivotButton="0" quotePrefix="0" xfId="0"/>
    <xf numFmtId="0" fontId="12" fillId="7" borderId="0" applyAlignment="1" pivotButton="0" quotePrefix="0" xfId="0">
      <alignment horizontal="center" wrapText="1"/>
    </xf>
    <xf numFmtId="10" fontId="0" fillId="0" borderId="0" pivotButton="0" quotePrefix="0" xfId="0"/>
    <xf numFmtId="9" fontId="0" fillId="0" borderId="0" pivotButton="0" quotePrefix="0" xfId="0"/>
    <xf numFmtId="169" fontId="0" fillId="0" borderId="0" pivotButton="0" quotePrefix="0" xfId="0"/>
    <xf numFmtId="0" fontId="20" fillId="0" borderId="0" pivotButton="0" quotePrefix="0" xfId="0"/>
    <xf numFmtId="169" fontId="11" fillId="8" borderId="0" pivotButton="0" quotePrefix="0" xfId="0"/>
    <xf numFmtId="0" fontId="21" fillId="0" borderId="0" pivotButton="0" quotePrefix="0" xfId="0"/>
    <xf numFmtId="0" fontId="12" fillId="7" borderId="0" pivotButton="0" quotePrefix="0" xfId="0"/>
    <xf numFmtId="0" fontId="22" fillId="0" borderId="0" pivotButton="0" quotePrefix="0" xfId="0"/>
    <xf numFmtId="169" fontId="10" fillId="8" borderId="0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/>
    <row r="2">
      <c r="B2" s="1" t="inlineStr">
        <is>
          <t>Credit Rating Scorecard - ICRA / CRISIL / CareEdge</t>
        </is>
      </c>
    </row>
    <row r="3"/>
    <row r="4">
      <c r="B4" s="2" t="inlineStr">
        <is>
          <t>How to use</t>
        </is>
      </c>
    </row>
    <row r="5" ht="26" customHeight="1">
      <c r="B5" s="3" t="inlineStr">
        <is>
          <t>1. On the Inputs sheet, fill every YELLOW cell: issuer, agency, sector, three years of financials, projection assumptions and the qualitative scores.</t>
        </is>
      </c>
    </row>
    <row r="6" ht="26" customHeight="1">
      <c r="B6" s="3" t="inlineStr">
        <is>
          <t>2. The Projections sheet builds FY+1/FY+2 earnings (future earning potential) from your assumptions.</t>
        </is>
      </c>
    </row>
    <row r="7" ht="26" customHeight="1">
      <c r="B7" s="3" t="inlineStr">
        <is>
          <t>3. The Ratios sheet computes the ratio set for all five years, labelled in the selected agency's conventions (OPBDIT / EBITDA / PBILDT etc.).</t>
        </is>
      </c>
    </row>
    <row r="8" ht="26" customHeight="1">
      <c r="B8" s="3" t="inlineStr">
        <is>
          <t>4. The Scorecard sheet scores financial risk automatically from threshold bands (Ref_Bands), takes your qualitative scores for industry/business/management, and weights them by the SECTOR you picked (Ref_Weights).</t>
        </is>
      </c>
    </row>
    <row r="9" ht="26" customHeight="1">
      <c r="B9" s="3" t="inlineStr">
        <is>
          <t>5. The Rating sheet converts the weighted score to a grade on the selected AGENCY's scale, applies support notches and hard caps, maps the short-term rating, and prints the rating line in that agency's house style.</t>
        </is>
      </c>
    </row>
    <row r="10">
      <c r="B10" s="3" t="inlineStr"/>
    </row>
    <row r="11">
      <c r="B11" s="2" t="inlineStr">
        <is>
          <t>Legend</t>
        </is>
      </c>
    </row>
    <row r="12" ht="26" customHeight="1">
      <c r="B12" s="3" t="inlineStr">
        <is>
          <t>YELLOW fill + blue text = cells you edit.  Black = formulas (do not edit).  Green = links to another sheet.  An example issuer ('Example Manufacturing Ltd') is pre-filled to show the expected format - overwrite it with your issuer.</t>
        </is>
      </c>
    </row>
    <row r="13">
      <c r="B13" s="3" t="inlineStr"/>
    </row>
    <row r="14">
      <c r="B14" s="2" t="inlineStr">
        <is>
          <t>Scoring convention</t>
        </is>
      </c>
    </row>
    <row r="15" ht="26" customHeight="1">
      <c r="B15" s="3" t="inlineStr">
        <is>
          <t>All scores run 1 (strongest) to 6 (weakest), consistent with the credit-rating-tool scorecard. The composite maps onto the 17-notch AAA..C scale; D is assigned only on actual default, never by the scorecard.</t>
        </is>
      </c>
    </row>
    <row r="16">
      <c r="B16" s="3" t="inlineStr"/>
    </row>
    <row r="17">
      <c r="B17" s="2" t="inlineStr">
        <is>
          <t>Assumptions and sources</t>
        </is>
      </c>
    </row>
    <row r="18" ht="30" customHeight="1">
      <c r="B18" s="4" t="inlineStr">
        <is>
          <t>- Financial-risk threshold bands and metric weights: credit-rating-tool/scorecard.py (Downloads/Claude), ILLUSTRATIVE benchmark ranges in the style of CRISIL/ICRA/CARE published criteria. Calibrate against the methodology files before relying on output (e.g. ICRA FMCG indicative bands: TOL/TNW &lt;=0.9x strongest, Total debt/OPBDIT &lt;=0.5x strongest).</t>
        </is>
      </c>
    </row>
    <row r="19" ht="30" customHeight="1">
      <c r="B19" s="4" t="inlineStr">
        <is>
          <t>- Sector weights and industry base scores (Ref_Weights): analyst assumptions reflecting each agency's framework (CRISIL: industry risk sets the sector median; CareEdge blocks A-E; ICRA industry/business/financial/management). Editable - they are inputs, not published constants.</t>
        </is>
      </c>
    </row>
    <row r="20" ht="30" customHeight="1">
      <c r="B20" s="4" t="inlineStr">
        <is>
          <t>- LT-&gt;ST mapping (Ref_Scales): empirical mapping observed across the 655 ICRA reference reports (see ICRA Knowledge Base 04); identical SEBI-standard scale symbols for all three agencies.</t>
        </is>
      </c>
    </row>
    <row r="21" ht="30" customHeight="1">
      <c r="B21" s="4" t="inlineStr">
        <is>
          <t>- LT-&gt;ST mapping (Ref_Scales): empirical mapping across the 649 ICRA reference reports (KB 04). Composite-&gt;grade map back-tested 18-Jul-2026 (power p=1.4).</t>
        </is>
      </c>
    </row>
    <row r="22">
      <c r="B22" s="3" t="inlineStr"/>
    </row>
    <row r="23">
      <c r="B23" s="2" t="inlineStr">
        <is>
          <t>Scope</t>
        </is>
      </c>
    </row>
    <row r="24" ht="26" customHeight="1">
      <c r="B24" s="3" t="inlineStr">
        <is>
          <t>Covers NON-FINANCIAL CORPORATES and FINANCIAL-SECTOR issuers (Banks / SFBs, NBFCs, HFCs). The framework switches automatically from the Sector you pick: a Corporate sector uses the EBITDA / gearing / coverage ratio set; a Bank/NBFC/HFC sector uses the financial-sector set (CRAR, GNPA, NNPA, RoA, NIM, cost-to-income) filled in the Financial-sector inputs block. Insurers are NOT covered (solvency-margin framework differs).</t>
        </is>
      </c>
    </row>
    <row r="25" ht="26" customHeight="1">
      <c r="B25" s="3" t="inlineStr">
        <is>
          <t>For a financial issuer: pick the Bank/NBFC/HFC sector, fill the Financial-sector inputs block on Inputs, and leave the corporate financials/projections at their example values (they are ignored). The Projections sheet and corporate Ratios apply to corporates only.</t>
        </is>
      </c>
    </row>
    <row r="26" ht="26" customHeight="1">
      <c r="B26" s="3" t="inlineStr">
        <is>
          <t>This is an analytical exercise tool; the output is an ANCHOR grade, not an agency rating. Qualitative judgment, peer comparison and the full methodology always override.</t>
        </is>
      </c>
    </row>
    <row r="27">
      <c r="B27" s="45" t="inlineStr">
        <is>
          <t>Support notches - MANDATORY where support drives the rating (back-test finding, 18-Jul-2026)</t>
        </is>
      </c>
    </row>
    <row r="28">
      <c r="B28" s="46" t="inlineStr">
        <is>
          <t>The neutral scorecard structurally UNDER-rates support-driven names (PSU/sovereign-owned, strong-parent strategic subsidiaries) and OVER-rates governance/default-stressed names. Apply the parent/group/government notch on Inputs per the agency criteria BEFORE comparing to the analyst view: e.g. majority-government-owned strategic entity +2/+3; strong-parent strategic subsidiary +1/+2; weak parent / cash drain -1/-2. Leaving it at 0 for a support-driven issuer is the single commonest cause of a low anchor (JSW, IIFL).</t>
        </is>
      </c>
    </row>
    <row r="29">
      <c r="B29" s="46" t="inlineStr">
        <is>
          <t>Back-test provenance (18-Jul-2026): calibrated against 396 ICRA-rated issuers + the JSW/IIFL fully-scored cases (see Scorecard_Backtest_Report_18Jul2026.md). Composite-&gt;grade map softened to power p=1.4 (removed a +2.1-notch downward bias). Financial bands are NOT the constraint and were left as-is. The anchor is a zero-biased +/-2 screening band (reliable to ~+/-1 only in the A+..BBB- range), never a point rating.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46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9" customWidth="1" min="11" max="11"/>
    <col width="10" customWidth="1" min="12" max="12"/>
    <col width="60" customWidth="1" min="13" max="13"/>
  </cols>
  <sheetData>
    <row r="1"/>
    <row r="2">
      <c r="B2" s="67" t="inlineStr">
        <is>
          <t>State Bank of India - quantitative anchor (CRISIL)</t>
        </is>
      </c>
    </row>
    <row r="3">
      <c r="B3" s="68" t="inlineStr">
        <is>
          <t>Financial metrics scored against Ref_Bands_Fin of this template. Convention: 1 = strongest, 6 = weakest.</t>
        </is>
      </c>
    </row>
    <row r="4"/>
    <row r="5">
      <c r="B5" s="69" t="inlineStr">
        <is>
          <t>Metric</t>
        </is>
      </c>
      <c r="C5" s="69" t="inlineStr">
        <is>
          <t>Direction</t>
        </is>
      </c>
      <c r="D5" s="69" t="inlineStr">
        <is>
          <t>Value</t>
        </is>
      </c>
      <c r="E5" s="69" t="inlineStr">
        <is>
          <t>t1</t>
        </is>
      </c>
      <c r="F5" s="69" t="inlineStr">
        <is>
          <t>t2</t>
        </is>
      </c>
      <c r="G5" s="69" t="inlineStr">
        <is>
          <t>t3</t>
        </is>
      </c>
      <c r="H5" s="69" t="inlineStr">
        <is>
          <t>t4</t>
        </is>
      </c>
      <c r="I5" s="69" t="inlineStr">
        <is>
          <t>t5</t>
        </is>
      </c>
      <c r="J5" s="69" t="inlineStr">
        <is>
          <t>Score</t>
        </is>
      </c>
      <c r="K5" s="69" t="inlineStr">
        <is>
          <t>Weight</t>
        </is>
      </c>
      <c r="L5" s="69" t="inlineStr">
        <is>
          <t>Weighted</t>
        </is>
      </c>
      <c r="M5" s="69" t="inlineStr">
        <is>
          <t>Source</t>
        </is>
      </c>
    </row>
    <row r="6">
      <c r="B6" t="inlineStr">
        <is>
          <t>Capital adequacy - CRAR (%)</t>
        </is>
      </c>
      <c r="C6" t="inlineStr">
        <is>
          <t>higher</t>
        </is>
      </c>
      <c r="D6" s="70" t="n">
        <v>0.154</v>
      </c>
      <c r="E6" s="70" t="n">
        <v>0.11</v>
      </c>
      <c r="F6" s="70" t="n">
        <v>0.13</v>
      </c>
      <c r="G6" s="70" t="n">
        <v>0.15</v>
      </c>
      <c r="H6" s="70" t="n">
        <v>0.17</v>
      </c>
      <c r="I6" s="70" t="n">
        <v>0.19</v>
      </c>
      <c r="J6" s="45" t="n">
        <v>3</v>
      </c>
      <c r="K6" s="71" t="n">
        <v>0.22</v>
      </c>
      <c r="L6" s="72">
        <f>J6*K6</f>
        <v/>
      </c>
      <c r="M6" s="73" t="inlineStr">
        <is>
          <t>FY2026 reported CRAR 15.40% (Q1FY27: 15.67%)</t>
        </is>
      </c>
    </row>
    <row r="7">
      <c r="B7" t="inlineStr">
        <is>
          <t>Gross NPA (%)</t>
        </is>
      </c>
      <c r="C7" t="inlineStr">
        <is>
          <t>lower</t>
        </is>
      </c>
      <c r="D7" s="70" t="n">
        <v>0.0149</v>
      </c>
      <c r="E7" s="70" t="n">
        <v>0.01</v>
      </c>
      <c r="F7" s="70" t="n">
        <v>0.02</v>
      </c>
      <c r="G7" s="70" t="n">
        <v>0.03</v>
      </c>
      <c r="H7" s="70" t="n">
        <v>0.05</v>
      </c>
      <c r="I7" s="70" t="n">
        <v>0.08</v>
      </c>
      <c r="J7" s="45" t="n">
        <v>2</v>
      </c>
      <c r="K7" s="71" t="n">
        <v>0.18</v>
      </c>
      <c r="L7" s="72">
        <f>J7*K7</f>
        <v/>
      </c>
      <c r="M7" s="73" t="inlineStr">
        <is>
          <t>FY2026 GNPA 1.49% (Q1FY27: 1.47%)</t>
        </is>
      </c>
    </row>
    <row r="8">
      <c r="B8" t="inlineStr">
        <is>
          <t>Net NPA (%)</t>
        </is>
      </c>
      <c r="C8" t="inlineStr">
        <is>
          <t>lower</t>
        </is>
      </c>
      <c r="D8" s="70" t="n">
        <v>0.0039</v>
      </c>
      <c r="E8" s="70" t="n">
        <v>0.003</v>
      </c>
      <c r="F8" s="70" t="n">
        <v>0.007</v>
      </c>
      <c r="G8" s="70" t="n">
        <v>0.012</v>
      </c>
      <c r="H8" s="70" t="n">
        <v>0.02</v>
      </c>
      <c r="I8" s="70" t="n">
        <v>0.03</v>
      </c>
      <c r="J8" s="45" t="n">
        <v>2</v>
      </c>
      <c r="K8" s="71" t="n">
        <v>0.15</v>
      </c>
      <c r="L8" s="72">
        <f>J8*K8</f>
        <v/>
      </c>
      <c r="M8" s="73" t="inlineStr">
        <is>
          <t>FY2026 NNPA 0.39% (Q1FY27: 0.38%)</t>
        </is>
      </c>
    </row>
    <row r="9">
      <c r="B9" t="inlineStr">
        <is>
          <t>Return on assets - RoA (%)</t>
        </is>
      </c>
      <c r="C9" t="inlineStr">
        <is>
          <t>higher</t>
        </is>
      </c>
      <c r="D9" s="70" t="n">
        <v>0.0112</v>
      </c>
      <c r="E9" s="70" t="n">
        <v>0.005</v>
      </c>
      <c r="F9" s="70" t="n">
        <v>0.008999999999999999</v>
      </c>
      <c r="G9" s="70" t="n">
        <v>0.013</v>
      </c>
      <c r="H9" s="70" t="n">
        <v>0.017</v>
      </c>
      <c r="I9" s="70" t="n">
        <v>0.021</v>
      </c>
      <c r="J9" s="45" t="n">
        <v>4</v>
      </c>
      <c r="K9" s="71" t="n">
        <v>0.2</v>
      </c>
      <c r="L9" s="72">
        <f>J9*K9</f>
        <v/>
      </c>
      <c r="M9" s="73" t="inlineStr">
        <is>
          <t>FY2026 RoAA 1.12% (Q1FY27: 1.11%)</t>
        </is>
      </c>
    </row>
    <row r="10">
      <c r="B10" t="inlineStr">
        <is>
          <t>Net interest margin - NIM (%)</t>
        </is>
      </c>
      <c r="C10" t="inlineStr">
        <is>
          <t>higher</t>
        </is>
      </c>
      <c r="D10" s="70" t="n">
        <v>0.0303</v>
      </c>
      <c r="E10" s="70" t="n">
        <v>0.02</v>
      </c>
      <c r="F10" s="70" t="n">
        <v>0.027</v>
      </c>
      <c r="G10" s="70" t="n">
        <v>0.033</v>
      </c>
      <c r="H10" s="70" t="n">
        <v>0.04</v>
      </c>
      <c r="I10" s="70" t="n">
        <v>0.05</v>
      </c>
      <c r="J10" s="45" t="n">
        <v>4</v>
      </c>
      <c r="K10" s="71" t="n">
        <v>0.13</v>
      </c>
      <c r="L10" s="72">
        <f>J10*K10</f>
        <v/>
      </c>
      <c r="M10" s="73" t="inlineStr">
        <is>
          <t>FY2026 domestic NIM 3.03% (Q1FY27: 3.00%)</t>
        </is>
      </c>
    </row>
    <row r="11">
      <c r="B11" t="inlineStr">
        <is>
          <t>Cost-to-income (%)</t>
        </is>
      </c>
      <c r="C11" t="inlineStr">
        <is>
          <t>lower</t>
        </is>
      </c>
      <c r="D11" s="70" t="n">
        <v>0.5011</v>
      </c>
      <c r="E11" s="70" t="n">
        <v>0.4</v>
      </c>
      <c r="F11" s="70" t="n">
        <v>0.45</v>
      </c>
      <c r="G11" s="70" t="n">
        <v>0.5</v>
      </c>
      <c r="H11" s="70" t="n">
        <v>0.58</v>
      </c>
      <c r="I11" s="70" t="n">
        <v>0.68</v>
      </c>
      <c r="J11" s="45" t="n">
        <v>4</v>
      </c>
      <c r="K11" s="71" t="n">
        <v>0.12</v>
      </c>
      <c r="L11" s="72">
        <f>J11*K11</f>
        <v/>
      </c>
      <c r="M11" s="73" t="inlineStr">
        <is>
          <t>FY2026 cost-to-income 50.11%</t>
        </is>
      </c>
    </row>
    <row r="12">
      <c r="B12" s="45" t="inlineStr">
        <is>
          <t>WEIGHTED FINANCIAL SCORE</t>
        </is>
      </c>
      <c r="K12" s="71">
        <f>SUM(K6:K11)</f>
        <v/>
      </c>
      <c r="L12" s="74">
        <f>SUM(L6:L11)</f>
        <v/>
      </c>
    </row>
    <row r="13"/>
    <row r="14">
      <c r="B14" s="75" t="inlineStr">
        <is>
          <t>QUALITATIVE FACTORS (not captured by ratios)</t>
        </is>
      </c>
    </row>
    <row r="15">
      <c r="B15" s="76" t="inlineStr">
        <is>
          <t>Factor</t>
        </is>
      </c>
      <c r="C15" s="76" t="inlineStr">
        <is>
          <t>Score</t>
        </is>
      </c>
      <c r="D15" s="76" t="inlineStr">
        <is>
          <t>Weight</t>
        </is>
      </c>
      <c r="E15" s="76" t="inlineStr">
        <is>
          <t>Weighted</t>
        </is>
      </c>
      <c r="F15" s="76" t="inlineStr">
        <is>
          <t>Basis</t>
        </is>
      </c>
    </row>
    <row r="16">
      <c r="B16" t="inlineStr">
        <is>
          <t>Sovereign ownership / expectation of support</t>
        </is>
      </c>
      <c r="C16" s="45" t="n">
        <v>1</v>
      </c>
      <c r="D16" s="71" t="n">
        <v>0.4</v>
      </c>
      <c r="E16" s="72">
        <f>C16*D16</f>
        <v/>
      </c>
      <c r="F16" s="73" t="inlineStr">
        <is>
          <t>GoI holds 55.03% (Mar-2026). RBI-designated D-SIB with a 0.80% CET-1 surcharge. Support expectation is the dominant factor and is not captured by any financial ratio.</t>
        </is>
      </c>
    </row>
    <row r="17">
      <c r="B17" t="inlineStr">
        <is>
          <t>Market position / franchise</t>
        </is>
      </c>
      <c r="C17" s="45" t="n">
        <v>1</v>
      </c>
      <c r="D17" s="71" t="n">
        <v>0.3</v>
      </c>
      <c r="E17" s="72">
        <f>C17*D17</f>
        <v/>
      </c>
      <c r="F17" s="73" t="inlineStr">
        <is>
          <t>Largest Indian bank: deposits Rs 59.76 lakh crore, advances Rs 49.33 lakh crore, 23,265 domestic branches, 245 foreign offices, CASA 39.46% on domestic deposits.</t>
        </is>
      </c>
    </row>
    <row r="18">
      <c r="B18" t="inlineStr">
        <is>
          <t>Management and governance</t>
        </is>
      </c>
      <c r="C18" s="45" t="n">
        <v>2</v>
      </c>
      <c r="D18" s="71" t="n">
        <v>0.15</v>
      </c>
      <c r="E18" s="72">
        <f>C18*D18</f>
        <v/>
      </c>
      <c r="F18" s="73" t="inlineStr">
        <is>
          <t>Unmodified audit opinion across FY2024-FY2026. RBI supervisory process required NO divergence disclosure on asset classification or provisioning in any year reviewed.</t>
        </is>
      </c>
    </row>
    <row r="19">
      <c r="B19" t="inlineStr">
        <is>
          <t>Asset-quality trajectory</t>
        </is>
      </c>
      <c r="C19" s="45" t="n">
        <v>1</v>
      </c>
      <c r="D19" s="71" t="n">
        <v>0.15</v>
      </c>
      <c r="E19" s="72">
        <f>C19*D19</f>
        <v/>
      </c>
      <c r="F19" s="73" t="inlineStr">
        <is>
          <t>GNPA 4.98% (FY2021) to 1.49% (FY2026) to 1.47% (Q1FY27); slippage 0.54% FY2026, 0.57% Q1FY27; PCR 74.36% excl. AUCA and 99.01% incl. AUCA.</t>
        </is>
      </c>
    </row>
    <row r="20">
      <c r="B20" s="45" t="inlineStr">
        <is>
          <t>WEIGHTED QUALITATIVE SCORE</t>
        </is>
      </c>
      <c r="E20" s="74">
        <f>SUM(E16:E19)</f>
        <v/>
      </c>
    </row>
    <row r="21"/>
    <row r="22">
      <c r="B22" s="77" t="inlineStr">
        <is>
          <t>COMPOSITE</t>
        </is>
      </c>
    </row>
    <row r="23">
      <c r="B23" t="inlineStr">
        <is>
          <t>Financial score (weight 0.35)</t>
        </is>
      </c>
      <c r="C23" s="72">
        <f>L12</f>
        <v/>
      </c>
      <c r="D23" s="71" t="n">
        <v>0.35</v>
      </c>
      <c r="E23" s="72">
        <f>C23*D23</f>
        <v/>
      </c>
    </row>
    <row r="24">
      <c r="B24" t="inlineStr">
        <is>
          <t>Qualitative score (weight 0.65)</t>
        </is>
      </c>
      <c r="C24" s="72">
        <f>E20</f>
        <v/>
      </c>
      <c r="D24" s="71" t="n">
        <v>0.65</v>
      </c>
      <c r="E24" s="72">
        <f>C24*D24</f>
        <v/>
      </c>
    </row>
    <row r="25">
      <c r="B25" s="45" t="inlineStr">
        <is>
          <t>COMPOSITE SCORE</t>
        </is>
      </c>
      <c r="E25" s="78">
        <f>SUM(E23:E24)</f>
        <v/>
      </c>
    </row>
    <row r="26"/>
    <row r="27">
      <c r="B27" s="68" t="inlineStr"/>
    </row>
    <row r="28">
      <c r="B28" s="79" t="inlineStr">
        <is>
          <t>READING THE RESULT</t>
        </is>
      </c>
    </row>
    <row r="29">
      <c r="B29" s="68" t="inlineStr">
        <is>
          <t>The financial block alone scores materially weaker than the final rating. That is the</t>
        </is>
      </c>
    </row>
    <row r="30">
      <c r="B30" s="68" t="inlineStr">
        <is>
          <t>correct and expected outcome for this issuer: on pure ratios SBI is a mid-scoring bank -</t>
        </is>
      </c>
    </row>
    <row r="31">
      <c r="B31" s="68" t="inlineStr">
        <is>
          <t>RoA ~1.1%, NIM ~3.0% and cost-to-income ~50% all sit in the middle bands - and it is</t>
        </is>
      </c>
    </row>
    <row r="32">
      <c r="B32" s="68" t="inlineStr">
        <is>
          <t>sovereign ownership, systemic importance and franchise scale that carry the rating to AAA.</t>
        </is>
      </c>
    </row>
    <row r="33">
      <c r="B33" s="68" t="inlineStr">
        <is>
          <t>The scorecard is therefore evidence FOR the support-driven rating construction, not</t>
        </is>
      </c>
    </row>
    <row r="34">
      <c r="B34" s="68" t="inlineStr">
        <is>
          <t>against it: remove the support factor and the profile does not support the highest grade.</t>
        </is>
      </c>
    </row>
    <row r="35">
      <c r="B35" s="68" t="inlineStr"/>
    </row>
    <row r="36">
      <c r="B36" s="68" t="inlineStr">
        <is>
          <t>The 0.35/0.65 financial/qualitative split is an analyst judgement for a D-SIB public sector</t>
        </is>
      </c>
    </row>
    <row r="37">
      <c r="B37" s="68" t="inlineStr">
        <is>
          <t>bank, where support expectation dominates. It is not taken from the template, which</t>
        </is>
      </c>
    </row>
    <row r="38">
      <c r="B38" s="68" t="inlineStr">
        <is>
          <t>publishes no weighting for banks. Stated here so the assumption is visible.</t>
        </is>
      </c>
    </row>
    <row r="39">
      <c r="B39" s="68" t="inlineStr"/>
    </row>
    <row r="40">
      <c r="B40" s="68" t="inlineStr">
        <is>
          <t>Long-term view: Crisil AAA/Stable (senior, FD, infrastructure bonds, Tier II Basel III).</t>
        </is>
      </c>
    </row>
    <row r="41">
      <c r="B41" s="68" t="inlineStr">
        <is>
          <t>Tier I (Basel III) notched one below at Crisil AA+/Stable for loss-absorption features.</t>
        </is>
      </c>
    </row>
    <row r="42">
      <c r="B42" s="68" t="inlineStr">
        <is>
          <t>Short-term: Crisil A1+.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" customWidth="1" min="4" max="4"/>
    <col width="14" customWidth="1" min="5" max="5"/>
    <col width="10" customWidth="1" min="6" max="6"/>
    <col width="4" customWidth="1" min="7" max="7"/>
    <col width="16" customWidth="1" min="8" max="8"/>
    <col width="10" customWidth="1" min="9" max="9"/>
    <col width="30" customWidth="1" min="10" max="10"/>
  </cols>
  <sheetData>
    <row r="1">
      <c r="A1" s="1" t="inlineStr">
        <is>
          <t>Reference: scales, mappings, agency conventions</t>
        </is>
      </c>
    </row>
    <row r="2"/>
    <row r="3">
      <c r="A3" s="10" t="inlineStr">
        <is>
          <t>17-notch long-term scale (1=AAA)</t>
        </is>
      </c>
      <c r="E3" s="10" t="inlineStr">
        <is>
          <t>Liquidity adjustment</t>
        </is>
      </c>
      <c r="H3" s="10" t="inlineStr">
        <is>
          <t>Agency conventions</t>
        </is>
      </c>
    </row>
    <row r="4">
      <c r="A4" s="15" t="inlineStr">
        <is>
          <t>Grade</t>
        </is>
      </c>
      <c r="B4" s="15" t="inlineStr">
        <is>
          <t>ST (normal)</t>
        </is>
      </c>
      <c r="C4" s="15" t="inlineStr">
        <is>
          <t>ST (Superior/Strong liq)</t>
        </is>
      </c>
      <c r="E4" s="15" t="inlineStr">
        <is>
          <t>Descriptor</t>
        </is>
      </c>
      <c r="F4" s="15" t="inlineStr">
        <is>
          <t>Score adj</t>
        </is>
      </c>
      <c r="H4" s="15" t="inlineStr">
        <is>
          <t>Agency</t>
        </is>
      </c>
      <c r="I4" s="15" t="inlineStr">
        <is>
          <t>EBITDA term</t>
        </is>
      </c>
      <c r="J4" s="15" t="inlineStr">
        <is>
          <t>Rating line style</t>
        </is>
      </c>
    </row>
    <row r="5">
      <c r="A5" s="13" t="inlineStr">
        <is>
          <t>AAA</t>
        </is>
      </c>
      <c r="B5" s="13" t="inlineStr">
        <is>
          <t>A1+</t>
        </is>
      </c>
      <c r="C5" s="13" t="inlineStr">
        <is>
          <t>A1+</t>
        </is>
      </c>
      <c r="E5" s="13" t="inlineStr">
        <is>
          <t>Superior</t>
        </is>
      </c>
      <c r="F5" s="25" t="n">
        <v>-0.25</v>
      </c>
      <c r="H5" s="13" t="inlineStr">
        <is>
          <t>ICRA</t>
        </is>
      </c>
      <c r="I5" s="13" t="inlineStr">
        <is>
          <t>OPBDIT</t>
        </is>
      </c>
      <c r="J5" s="13" t="inlineStr">
        <is>
          <t>[ICRA]AA+ (Stable) / [ICRA]A1+</t>
        </is>
      </c>
    </row>
    <row r="6">
      <c r="A6" s="13" t="inlineStr">
        <is>
          <t>AA+</t>
        </is>
      </c>
      <c r="B6" s="13" t="inlineStr">
        <is>
          <t>A1+</t>
        </is>
      </c>
      <c r="C6" s="13" t="inlineStr">
        <is>
          <t>A1+</t>
        </is>
      </c>
      <c r="E6" s="13" t="inlineStr">
        <is>
          <t>Strong</t>
        </is>
      </c>
      <c r="F6" s="25" t="n">
        <v>-0.1</v>
      </c>
      <c r="H6" s="13" t="inlineStr">
        <is>
          <t>CRISIL</t>
        </is>
      </c>
      <c r="I6" s="13" t="inlineStr">
        <is>
          <t>EBITDA</t>
        </is>
      </c>
      <c r="J6" s="13" t="inlineStr">
        <is>
          <t>Crisil AA+/Stable / Crisil A1+</t>
        </is>
      </c>
    </row>
    <row r="7">
      <c r="A7" s="13" t="inlineStr">
        <is>
          <t>AA</t>
        </is>
      </c>
      <c r="B7" s="13" t="inlineStr">
        <is>
          <t>A1+</t>
        </is>
      </c>
      <c r="C7" s="13" t="inlineStr">
        <is>
          <t>A1+</t>
        </is>
      </c>
      <c r="E7" s="13" t="inlineStr">
        <is>
          <t>Adequate</t>
        </is>
      </c>
      <c r="F7" s="25" t="n">
        <v>0</v>
      </c>
      <c r="H7" s="13" t="inlineStr">
        <is>
          <t>CareEdge</t>
        </is>
      </c>
      <c r="I7" s="13" t="inlineStr">
        <is>
          <t>PBILDT</t>
        </is>
      </c>
      <c r="J7" s="13" t="inlineStr">
        <is>
          <t>CARE AA+; Stable / CARE A1+</t>
        </is>
      </c>
    </row>
    <row r="8">
      <c r="A8" s="13" t="inlineStr">
        <is>
          <t>AA-</t>
        </is>
      </c>
      <c r="B8" s="13" t="inlineStr">
        <is>
          <t>A1+</t>
        </is>
      </c>
      <c r="C8" s="13" t="inlineStr">
        <is>
          <t>A1+</t>
        </is>
      </c>
      <c r="E8" s="13" t="inlineStr">
        <is>
          <t>Stretched</t>
        </is>
      </c>
      <c r="F8" s="25" t="n">
        <v>0.75</v>
      </c>
    </row>
    <row r="9">
      <c r="A9" s="13" t="inlineStr">
        <is>
          <t>A+</t>
        </is>
      </c>
      <c r="B9" s="13" t="inlineStr">
        <is>
          <t>A1</t>
        </is>
      </c>
      <c r="C9" s="13" t="inlineStr">
        <is>
          <t>A1+</t>
        </is>
      </c>
      <c r="E9" s="13" t="inlineStr">
        <is>
          <t>Poor</t>
        </is>
      </c>
      <c r="F9" s="25" t="n">
        <v>1.5</v>
      </c>
    </row>
    <row r="10">
      <c r="A10" s="13" t="inlineStr">
        <is>
          <t>A</t>
        </is>
      </c>
      <c r="B10" s="13" t="inlineStr">
        <is>
          <t>A2+</t>
        </is>
      </c>
      <c r="C10" s="13" t="inlineStr">
        <is>
          <t>A1</t>
        </is>
      </c>
    </row>
    <row r="11">
      <c r="A11" s="13" t="inlineStr">
        <is>
          <t>A-</t>
        </is>
      </c>
      <c r="B11" s="13" t="inlineStr">
        <is>
          <t>A2+</t>
        </is>
      </c>
      <c r="C11" s="13" t="inlineStr">
        <is>
          <t>A2+</t>
        </is>
      </c>
      <c r="E11" s="10" t="inlineStr">
        <is>
          <t>Outlook options</t>
        </is>
      </c>
    </row>
    <row r="12">
      <c r="A12" s="13" t="inlineStr">
        <is>
          <t>BBB+</t>
        </is>
      </c>
      <c r="B12" s="13" t="inlineStr">
        <is>
          <t>A2</t>
        </is>
      </c>
      <c r="C12" s="13" t="inlineStr">
        <is>
          <t>A2</t>
        </is>
      </c>
      <c r="E12" s="13" t="inlineStr">
        <is>
          <t>Stable</t>
        </is>
      </c>
    </row>
    <row r="13">
      <c r="A13" s="13" t="inlineStr">
        <is>
          <t>BBB</t>
        </is>
      </c>
      <c r="B13" s="13" t="inlineStr">
        <is>
          <t>A3+</t>
        </is>
      </c>
      <c r="C13" s="13" t="inlineStr">
        <is>
          <t>A3+</t>
        </is>
      </c>
      <c r="E13" s="13" t="inlineStr">
        <is>
          <t>Positive</t>
        </is>
      </c>
    </row>
    <row r="14">
      <c r="A14" s="13" t="inlineStr">
        <is>
          <t>BBB-</t>
        </is>
      </c>
      <c r="B14" s="13" t="inlineStr">
        <is>
          <t>A3</t>
        </is>
      </c>
      <c r="C14" s="13" t="inlineStr">
        <is>
          <t>A3</t>
        </is>
      </c>
      <c r="E14" s="13" t="inlineStr">
        <is>
          <t>Negative</t>
        </is>
      </c>
    </row>
    <row r="15">
      <c r="A15" s="13" t="inlineStr">
        <is>
          <t>BB+</t>
        </is>
      </c>
      <c r="B15" s="13" t="inlineStr">
        <is>
          <t>A4+</t>
        </is>
      </c>
      <c r="C15" s="13" t="inlineStr">
        <is>
          <t>A4+</t>
        </is>
      </c>
      <c r="E15" s="13" t="inlineStr">
        <is>
          <t>Not applicable</t>
        </is>
      </c>
    </row>
    <row r="16">
      <c r="A16" s="13" t="inlineStr">
        <is>
          <t>BB</t>
        </is>
      </c>
      <c r="B16" s="13" t="inlineStr">
        <is>
          <t>A4</t>
        </is>
      </c>
      <c r="C16" s="13" t="inlineStr">
        <is>
          <t>A4</t>
        </is>
      </c>
    </row>
    <row r="17">
      <c r="A17" s="13" t="inlineStr">
        <is>
          <t>BB-</t>
        </is>
      </c>
      <c r="B17" s="13" t="inlineStr">
        <is>
          <t>A4</t>
        </is>
      </c>
      <c r="C17" s="13" t="inlineStr">
        <is>
          <t>A4</t>
        </is>
      </c>
    </row>
    <row r="18">
      <c r="A18" s="13" t="inlineStr">
        <is>
          <t>B+</t>
        </is>
      </c>
      <c r="B18" s="13" t="inlineStr">
        <is>
          <t>A4</t>
        </is>
      </c>
      <c r="C18" s="13" t="inlineStr">
        <is>
          <t>A4</t>
        </is>
      </c>
    </row>
    <row r="19">
      <c r="A19" s="13" t="inlineStr">
        <is>
          <t>B</t>
        </is>
      </c>
      <c r="B19" s="13" t="inlineStr">
        <is>
          <t>A4</t>
        </is>
      </c>
      <c r="C19" s="13" t="inlineStr">
        <is>
          <t>A4</t>
        </is>
      </c>
    </row>
    <row r="20">
      <c r="A20" s="13" t="inlineStr">
        <is>
          <t>B-</t>
        </is>
      </c>
      <c r="B20" s="13" t="inlineStr">
        <is>
          <t>A4</t>
        </is>
      </c>
      <c r="C20" s="13" t="inlineStr">
        <is>
          <t>A4</t>
        </is>
      </c>
    </row>
    <row r="21">
      <c r="A21" s="13" t="inlineStr">
        <is>
          <t>C+</t>
        </is>
      </c>
      <c r="B21" s="13" t="inlineStr">
        <is>
          <t>A4</t>
        </is>
      </c>
      <c r="C21" s="13" t="inlineStr">
        <is>
          <t>A4</t>
        </is>
      </c>
    </row>
    <row r="22">
      <c r="A22" t="inlineStr">
        <is>
          <t>C</t>
        </is>
      </c>
      <c r="B22" t="inlineStr">
        <is>
          <t>A4</t>
        </is>
      </c>
      <c r="C22" t="inlineStr">
        <is>
          <t>A4</t>
        </is>
      </c>
    </row>
    <row r="23">
      <c r="A23" s="9" t="inlineStr">
        <is>
          <t>C-</t>
        </is>
      </c>
      <c r="B23" t="inlineStr">
        <is>
          <t>A4</t>
        </is>
      </c>
      <c r="C23" t="inlineStr">
        <is>
          <t>A4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</row>
    <row r="25"/>
    <row r="26">
      <c r="A26" t="inlineStr">
        <is>
          <t>Source: SEBI-standard symbols; ST mapping = empirical pairs across 655 ICRA reference reports (ICRA KB 04). AAA..AA- -&gt; A1+ always; overlap bands lifted one level when liquidity is Superior/Strong.  Extended 13-Sep-2026 to the full 20-point long-term scale plus D: the +/- modifiers run from AA down to C, so C+, C and C- all exist (CRISIL basics-of-ratings.md Section I; SEBI-standard symbols, same for all three agencies). Indices 0-15 are unchanged, so index-expressed hard caps keep their meaning.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Reference: sector weights and base scores (EDITABLE assumptions)</t>
        </is>
      </c>
    </row>
    <row r="2">
      <c r="A2" s="9" t="inlineStr">
        <is>
          <t>Weights (C:F) must sum to 1 per row. Base score 1 (best) .. 6 (worst) anchors the sector's operating-environment risk. Type = Corporate uses the EBITDA/gearing framework; Bank/NBFC/HFC use the financial-sector framework (capital, asset quality, earnings). Yellow = edit freely.</t>
        </is>
      </c>
    </row>
    <row r="3"/>
    <row r="4">
      <c r="A4" s="15" t="inlineStr">
        <is>
          <t>Sector</t>
        </is>
      </c>
      <c r="B4" s="15" t="inlineStr">
        <is>
          <t>Env/Industry base</t>
        </is>
      </c>
      <c r="C4" s="15" t="inlineStr">
        <is>
          <t>w Industry/Env</t>
        </is>
      </c>
      <c r="D4" s="15" t="inlineStr">
        <is>
          <t>w Business/Franchise</t>
        </is>
      </c>
      <c r="E4" s="15" t="inlineStr">
        <is>
          <t>w Financial</t>
        </is>
      </c>
      <c r="F4" s="15" t="inlineStr">
        <is>
          <t>w Management</t>
        </is>
      </c>
      <c r="G4" s="15" t="inlineStr">
        <is>
          <t>Sum</t>
        </is>
      </c>
      <c r="H4" s="15" t="inlineStr">
        <is>
          <t>Type</t>
        </is>
      </c>
    </row>
    <row r="5">
      <c r="A5" s="13" t="inlineStr">
        <is>
          <t>FMCG / Consumer staples</t>
        </is>
      </c>
      <c r="B5" s="43" t="n">
        <v>2</v>
      </c>
      <c r="C5" s="33" t="n">
        <v>0.15</v>
      </c>
      <c r="D5" s="33" t="n">
        <v>0.25</v>
      </c>
      <c r="E5" s="33" t="n">
        <v>0.45</v>
      </c>
      <c r="F5" s="33" t="n">
        <v>0.15</v>
      </c>
      <c r="G5" s="25">
        <f>SUM(C5:F5)</f>
        <v/>
      </c>
      <c r="H5" s="13" t="inlineStr">
        <is>
          <t>Corporate</t>
        </is>
      </c>
    </row>
    <row r="6">
      <c r="A6" s="13" t="inlineStr">
        <is>
          <t>Pharmaceuticals / Healthcare</t>
        </is>
      </c>
      <c r="B6" s="43" t="n">
        <v>2.5</v>
      </c>
      <c r="C6" s="33" t="n">
        <v>0.15</v>
      </c>
      <c r="D6" s="33" t="n">
        <v>0.25</v>
      </c>
      <c r="E6" s="33" t="n">
        <v>0.45</v>
      </c>
      <c r="F6" s="33" t="n">
        <v>0.15</v>
      </c>
      <c r="G6" s="25">
        <f>SUM(C6:F6)</f>
        <v/>
      </c>
      <c r="H6" s="13" t="inlineStr">
        <is>
          <t>Corporate</t>
        </is>
      </c>
    </row>
    <row r="7">
      <c r="A7" s="13" t="inlineStr">
        <is>
          <t>IT / Software &amp; services</t>
        </is>
      </c>
      <c r="B7" s="43" t="n">
        <v>2.5</v>
      </c>
      <c r="C7" s="33" t="n">
        <v>0.15</v>
      </c>
      <c r="D7" s="33" t="n">
        <v>0.25</v>
      </c>
      <c r="E7" s="33" t="n">
        <v>0.4</v>
      </c>
      <c r="F7" s="33" t="n">
        <v>0.2</v>
      </c>
      <c r="G7" s="25">
        <f>SUM(C7:F7)</f>
        <v/>
      </c>
      <c r="H7" s="13" t="inlineStr">
        <is>
          <t>Corporate</t>
        </is>
      </c>
    </row>
    <row r="8">
      <c r="A8" s="13" t="inlineStr">
        <is>
          <t>Auto OEM</t>
        </is>
      </c>
      <c r="B8" s="43" t="n">
        <v>3</v>
      </c>
      <c r="C8" s="33" t="n">
        <v>0.2</v>
      </c>
      <c r="D8" s="33" t="n">
        <v>0.25</v>
      </c>
      <c r="E8" s="33" t="n">
        <v>0.4</v>
      </c>
      <c r="F8" s="33" t="n">
        <v>0.15</v>
      </c>
      <c r="G8" s="25">
        <f>SUM(C8:F8)</f>
        <v/>
      </c>
      <c r="H8" s="13" t="inlineStr">
        <is>
          <t>Corporate</t>
        </is>
      </c>
    </row>
    <row r="9">
      <c r="A9" s="13" t="inlineStr">
        <is>
          <t>Auto components</t>
        </is>
      </c>
      <c r="B9" s="43" t="n">
        <v>3.5</v>
      </c>
      <c r="C9" s="33" t="n">
        <v>0.2</v>
      </c>
      <c r="D9" s="33" t="n">
        <v>0.2</v>
      </c>
      <c r="E9" s="33" t="n">
        <v>0.45</v>
      </c>
      <c r="F9" s="33" t="n">
        <v>0.15</v>
      </c>
      <c r="G9" s="25">
        <f>SUM(C9:F9)</f>
        <v/>
      </c>
      <c r="H9" s="13" t="inlineStr">
        <is>
          <t>Corporate</t>
        </is>
      </c>
    </row>
    <row r="10">
      <c r="A10" s="13" t="inlineStr">
        <is>
          <t>Cement</t>
        </is>
      </c>
      <c r="B10" s="43" t="n">
        <v>3</v>
      </c>
      <c r="C10" s="33" t="n">
        <v>0.2</v>
      </c>
      <c r="D10" s="33" t="n">
        <v>0.2</v>
      </c>
      <c r="E10" s="33" t="n">
        <v>0.45</v>
      </c>
      <c r="F10" s="33" t="n">
        <v>0.15</v>
      </c>
      <c r="G10" s="25">
        <f>SUM(C10:F10)</f>
        <v/>
      </c>
      <c r="H10" s="13" t="inlineStr">
        <is>
          <t>Corporate</t>
        </is>
      </c>
    </row>
    <row r="11">
      <c r="A11" s="13" t="inlineStr">
        <is>
          <t>Iron &amp; Steel / Metals / Mining</t>
        </is>
      </c>
      <c r="B11" s="43" t="n">
        <v>4</v>
      </c>
      <c r="C11" s="33" t="n">
        <v>0.25</v>
      </c>
      <c r="D11" s="33" t="n">
        <v>0.15</v>
      </c>
      <c r="E11" s="33" t="n">
        <v>0.45</v>
      </c>
      <c r="F11" s="33" t="n">
        <v>0.15</v>
      </c>
      <c r="G11" s="25">
        <f>SUM(C11:F11)</f>
        <v/>
      </c>
      <c r="H11" s="13" t="inlineStr">
        <is>
          <t>Corporate</t>
        </is>
      </c>
    </row>
    <row r="12">
      <c r="A12" s="13" t="inlineStr">
        <is>
          <t>Chemicals / Agrochemicals</t>
        </is>
      </c>
      <c r="B12" s="43" t="n">
        <v>3</v>
      </c>
      <c r="C12" s="33" t="n">
        <v>0.2</v>
      </c>
      <c r="D12" s="33" t="n">
        <v>0.2</v>
      </c>
      <c r="E12" s="33" t="n">
        <v>0.45</v>
      </c>
      <c r="F12" s="33" t="n">
        <v>0.15</v>
      </c>
      <c r="G12" s="25">
        <f>SUM(C12:F12)</f>
        <v/>
      </c>
      <c r="H12" s="13" t="inlineStr">
        <is>
          <t>Corporate</t>
        </is>
      </c>
    </row>
    <row r="13">
      <c r="A13" s="13" t="inlineStr">
        <is>
          <t>Oil &amp; Gas / Refining</t>
        </is>
      </c>
      <c r="B13" s="43" t="n">
        <v>3</v>
      </c>
      <c r="C13" s="33" t="n">
        <v>0.2</v>
      </c>
      <c r="D13" s="33" t="n">
        <v>0.2</v>
      </c>
      <c r="E13" s="33" t="n">
        <v>0.45</v>
      </c>
      <c r="F13" s="33" t="n">
        <v>0.15</v>
      </c>
      <c r="G13" s="25">
        <f>SUM(C13:F13)</f>
        <v/>
      </c>
      <c r="H13" s="13" t="inlineStr">
        <is>
          <t>Corporate</t>
        </is>
      </c>
    </row>
    <row r="14">
      <c r="A14" s="13" t="inlineStr">
        <is>
          <t>Textiles</t>
        </is>
      </c>
      <c r="B14" s="43" t="n">
        <v>4</v>
      </c>
      <c r="C14" s="33" t="n">
        <v>0.2</v>
      </c>
      <c r="D14" s="33" t="n">
        <v>0.2</v>
      </c>
      <c r="E14" s="33" t="n">
        <v>0.45</v>
      </c>
      <c r="F14" s="33" t="n">
        <v>0.15</v>
      </c>
      <c r="G14" s="25">
        <f>SUM(C14:F14)</f>
        <v/>
      </c>
      <c r="H14" s="13" t="inlineStr">
        <is>
          <t>Corporate</t>
        </is>
      </c>
    </row>
    <row r="15">
      <c r="A15" s="13" t="inlineStr">
        <is>
          <t>Paper &amp; Packaging</t>
        </is>
      </c>
      <c r="B15" s="43" t="n">
        <v>3.5</v>
      </c>
      <c r="C15" s="33" t="n">
        <v>0.2</v>
      </c>
      <c r="D15" s="33" t="n">
        <v>0.2</v>
      </c>
      <c r="E15" s="33" t="n">
        <v>0.45</v>
      </c>
      <c r="F15" s="33" t="n">
        <v>0.15</v>
      </c>
      <c r="G15" s="25">
        <f>SUM(C15:F15)</f>
        <v/>
      </c>
      <c r="H15" s="13" t="inlineStr">
        <is>
          <t>Corporate</t>
        </is>
      </c>
    </row>
    <row r="16">
      <c r="A16" s="13" t="inlineStr">
        <is>
          <t>Sugar / Agro-processing</t>
        </is>
      </c>
      <c r="B16" s="43" t="n">
        <v>4</v>
      </c>
      <c r="C16" s="33" t="n">
        <v>0.25</v>
      </c>
      <c r="D16" s="33" t="n">
        <v>0.15</v>
      </c>
      <c r="E16" s="33" t="n">
        <v>0.45</v>
      </c>
      <c r="F16" s="33" t="n">
        <v>0.15</v>
      </c>
      <c r="G16" s="25">
        <f>SUM(C16:F16)</f>
        <v/>
      </c>
      <c r="H16" s="13" t="inlineStr">
        <is>
          <t>Corporate</t>
        </is>
      </c>
    </row>
    <row r="17">
      <c r="A17" s="13" t="inlineStr">
        <is>
          <t>Hotels / Hospitality</t>
        </is>
      </c>
      <c r="B17" s="43" t="n">
        <v>3.5</v>
      </c>
      <c r="C17" s="33" t="n">
        <v>0.2</v>
      </c>
      <c r="D17" s="33" t="n">
        <v>0.2</v>
      </c>
      <c r="E17" s="33" t="n">
        <v>0.45</v>
      </c>
      <c r="F17" s="33" t="n">
        <v>0.15</v>
      </c>
      <c r="G17" s="25">
        <f>SUM(C17:F17)</f>
        <v/>
      </c>
      <c r="H17" s="13" t="inlineStr">
        <is>
          <t>Corporate</t>
        </is>
      </c>
    </row>
    <row r="18">
      <c r="A18" s="13" t="inlineStr">
        <is>
          <t>Real Estate / Construction</t>
        </is>
      </c>
      <c r="B18" s="43" t="n">
        <v>4.5</v>
      </c>
      <c r="C18" s="33" t="n">
        <v>0.25</v>
      </c>
      <c r="D18" s="33" t="n">
        <v>0.2</v>
      </c>
      <c r="E18" s="33" t="n">
        <v>0.4</v>
      </c>
      <c r="F18" s="33" t="n">
        <v>0.15</v>
      </c>
      <c r="G18" s="25">
        <f>SUM(C18:F18)</f>
        <v/>
      </c>
      <c r="H18" s="13" t="inlineStr">
        <is>
          <t>Corporate</t>
        </is>
      </c>
    </row>
    <row r="19">
      <c r="A19" s="13" t="inlineStr">
        <is>
          <t>Infrastructure / Power</t>
        </is>
      </c>
      <c r="B19" s="43" t="n">
        <v>3.5</v>
      </c>
      <c r="C19" s="33" t="n">
        <v>0.25</v>
      </c>
      <c r="D19" s="33" t="n">
        <v>0.2</v>
      </c>
      <c r="E19" s="33" t="n">
        <v>0.4</v>
      </c>
      <c r="F19" s="33" t="n">
        <v>0.15</v>
      </c>
      <c r="G19" s="25">
        <f>SUM(C19:F19)</f>
        <v/>
      </c>
      <c r="H19" s="13" t="inlineStr">
        <is>
          <t>Corporate</t>
        </is>
      </c>
    </row>
    <row r="20">
      <c r="A20" s="13" t="inlineStr">
        <is>
          <t>Telecom</t>
        </is>
      </c>
      <c r="B20" s="43" t="n">
        <v>3</v>
      </c>
      <c r="C20" s="33" t="n">
        <v>0.2</v>
      </c>
      <c r="D20" s="33" t="n">
        <v>0.25</v>
      </c>
      <c r="E20" s="33" t="n">
        <v>0.4</v>
      </c>
      <c r="F20" s="33" t="n">
        <v>0.15</v>
      </c>
      <c r="G20" s="25">
        <f>SUM(C20:F20)</f>
        <v/>
      </c>
      <c r="H20" s="13" t="inlineStr">
        <is>
          <t>Corporate</t>
        </is>
      </c>
    </row>
    <row r="21">
      <c r="A21" s="13" t="inlineStr">
        <is>
          <t>Retail / Consumer discretionary</t>
        </is>
      </c>
      <c r="B21" s="43" t="n">
        <v>3</v>
      </c>
      <c r="C21" s="33" t="n">
        <v>0.15</v>
      </c>
      <c r="D21" s="33" t="n">
        <v>0.25</v>
      </c>
      <c r="E21" s="33" t="n">
        <v>0.45</v>
      </c>
      <c r="F21" s="33" t="n">
        <v>0.15</v>
      </c>
      <c r="G21" s="25">
        <f>SUM(C21:F21)</f>
        <v/>
      </c>
      <c r="H21" s="13" t="inlineStr">
        <is>
          <t>Corporate</t>
        </is>
      </c>
    </row>
    <row r="22">
      <c r="A22" s="13" t="inlineStr">
        <is>
          <t>Trading / Distribution</t>
        </is>
      </c>
      <c r="B22" s="43" t="n">
        <v>4</v>
      </c>
      <c r="C22" s="33" t="n">
        <v>0.2</v>
      </c>
      <c r="D22" s="33" t="n">
        <v>0.2</v>
      </c>
      <c r="E22" s="33" t="n">
        <v>0.45</v>
      </c>
      <c r="F22" s="33" t="n">
        <v>0.15</v>
      </c>
      <c r="G22" s="25">
        <f>SUM(C22:F22)</f>
        <v/>
      </c>
      <c r="H22" s="13" t="inlineStr">
        <is>
          <t>Corporate</t>
        </is>
      </c>
    </row>
    <row r="23">
      <c r="A23" s="13" t="inlineStr">
        <is>
          <t>Generic corporate</t>
        </is>
      </c>
      <c r="B23" s="43" t="n">
        <v>3</v>
      </c>
      <c r="C23" s="33" t="n">
        <v>0.2</v>
      </c>
      <c r="D23" s="33" t="n">
        <v>0.2</v>
      </c>
      <c r="E23" s="33" t="n">
        <v>0.45</v>
      </c>
      <c r="F23" s="33" t="n">
        <v>0.15</v>
      </c>
      <c r="G23" s="25">
        <f>SUM(C23:F23)</f>
        <v/>
      </c>
      <c r="H23" s="13" t="inlineStr">
        <is>
          <t>Corporate</t>
        </is>
      </c>
    </row>
    <row r="24">
      <c r="A24" s="13" t="inlineStr">
        <is>
          <t>Bank / SFB</t>
        </is>
      </c>
      <c r="B24" s="43" t="n">
        <v>2</v>
      </c>
      <c r="C24" s="33" t="n">
        <v>0.15</v>
      </c>
      <c r="D24" s="33" t="n">
        <v>0.25</v>
      </c>
      <c r="E24" s="33" t="n">
        <v>0.45</v>
      </c>
      <c r="F24" s="33" t="n">
        <v>0.15</v>
      </c>
      <c r="G24" s="25">
        <f>SUM(C24:F24)</f>
        <v/>
      </c>
      <c r="H24" s="13" t="inlineStr">
        <is>
          <t>Bank</t>
        </is>
      </c>
    </row>
    <row r="25">
      <c r="A25" s="13" t="inlineStr">
        <is>
          <t>NBFC</t>
        </is>
      </c>
      <c r="B25" s="43" t="n">
        <v>3</v>
      </c>
      <c r="C25" s="33" t="n">
        <v>0.15</v>
      </c>
      <c r="D25" s="33" t="n">
        <v>0.25</v>
      </c>
      <c r="E25" s="33" t="n">
        <v>0.45</v>
      </c>
      <c r="F25" s="33" t="n">
        <v>0.15</v>
      </c>
      <c r="G25" s="25">
        <f>SUM(C25:F25)</f>
        <v/>
      </c>
      <c r="H25" s="13" t="inlineStr">
        <is>
          <t>NBFC</t>
        </is>
      </c>
    </row>
    <row r="26">
      <c r="A26" s="13" t="inlineStr">
        <is>
          <t>Housing Finance Co (HFC)</t>
        </is>
      </c>
      <c r="B26" s="43" t="n">
        <v>2.5</v>
      </c>
      <c r="C26" s="33" t="n">
        <v>0.15</v>
      </c>
      <c r="D26" s="33" t="n">
        <v>0.25</v>
      </c>
      <c r="E26" s="33" t="n">
        <v>0.45</v>
      </c>
      <c r="F26" s="33" t="n">
        <v>0.15</v>
      </c>
      <c r="G26" s="25">
        <f>SUM(C26:F26)</f>
        <v/>
      </c>
      <c r="H26" s="13" t="inlineStr">
        <is>
          <t>HFC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financial-risk threshold bands (score 1 strongest .. 6 weakest)</t>
        </is>
      </c>
    </row>
    <row r="2">
      <c r="A2" s="9" t="inlineStr">
        <is>
          <t>Source: credit-rating-tool/scorecard.py (illustrative benchmark ranges in the style of CRISIL/ICRA/CARE criteria - calibrate before relying). Higher-better: score = 6 - COUNTIF(thresholds&lt;=value). Lower-better: score = 1 + COUNTIF(thresholds&lt;value). Yellow = edit to recalibrate.</t>
        </is>
      </c>
    </row>
    <row r="3"/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Interest coverage (x)</t>
        </is>
      </c>
      <c r="B5" s="13" t="inlineStr">
        <is>
          <t>higher</t>
        </is>
      </c>
      <c r="C5" s="33" t="n">
        <v>1.5</v>
      </c>
      <c r="D5" s="33" t="n">
        <v>2.5</v>
      </c>
      <c r="E5" s="33" t="n">
        <v>3.5</v>
      </c>
      <c r="F5" s="33" t="n">
        <v>5</v>
      </c>
      <c r="G5" s="33" t="n">
        <v>8</v>
      </c>
      <c r="H5" s="33" t="n">
        <v>0.25</v>
      </c>
    </row>
    <row r="6">
      <c r="A6" s="13" t="inlineStr">
        <is>
          <t>Gearing - Total debt/TNW (x)</t>
        </is>
      </c>
      <c r="B6" s="13" t="inlineStr">
        <is>
          <t>lower</t>
        </is>
      </c>
      <c r="C6" s="33" t="n">
        <v>0.5</v>
      </c>
      <c r="D6" s="33" t="n">
        <v>1</v>
      </c>
      <c r="E6" s="33" t="n">
        <v>1.5</v>
      </c>
      <c r="F6" s="33" t="n">
        <v>2</v>
      </c>
      <c r="G6" s="33" t="n">
        <v>3</v>
      </c>
      <c r="H6" s="33" t="n">
        <v>0.2</v>
      </c>
    </row>
    <row r="7">
      <c r="A7" s="13" t="inlineStr">
        <is>
          <t>Total debt/EBITDA (x)</t>
        </is>
      </c>
      <c r="B7" s="13" t="inlineStr">
        <is>
          <t>lower</t>
        </is>
      </c>
      <c r="C7" s="33" t="n">
        <v>1.5</v>
      </c>
      <c r="D7" s="33" t="n">
        <v>2.5</v>
      </c>
      <c r="E7" s="33" t="n">
        <v>3.5</v>
      </c>
      <c r="F7" s="33" t="n">
        <v>4.5</v>
      </c>
      <c r="G7" s="33" t="n">
        <v>6</v>
      </c>
      <c r="H7" s="33" t="n">
        <v>0.2</v>
      </c>
    </row>
    <row r="8">
      <c r="A8" s="13" t="inlineStr">
        <is>
          <t>EBITDA margin (%)</t>
        </is>
      </c>
      <c r="B8" s="13" t="inlineStr">
        <is>
          <t>higher</t>
        </is>
      </c>
      <c r="C8" s="33" t="n">
        <v>0.04</v>
      </c>
      <c r="D8" s="33" t="n">
        <v>0.08</v>
      </c>
      <c r="E8" s="33" t="n">
        <v>0.12</v>
      </c>
      <c r="F8" s="33" t="n">
        <v>0.18</v>
      </c>
      <c r="G8" s="33" t="n">
        <v>0.25</v>
      </c>
      <c r="H8" s="33" t="n">
        <v>0.15</v>
      </c>
    </row>
    <row r="9">
      <c r="A9" s="13" t="inlineStr">
        <is>
          <t>Gross cash accruals/Total debt (x)</t>
        </is>
      </c>
      <c r="B9" s="13" t="inlineStr">
        <is>
          <t>higher</t>
        </is>
      </c>
      <c r="C9" s="33" t="n">
        <v>0.06</v>
      </c>
      <c r="D9" s="33" t="n">
        <v>0.12</v>
      </c>
      <c r="E9" s="33" t="n">
        <v>0.18</v>
      </c>
      <c r="F9" s="33" t="n">
        <v>0.25</v>
      </c>
      <c r="G9" s="33" t="n">
        <v>0.35</v>
      </c>
      <c r="H9" s="33" t="n">
        <v>0.12</v>
      </c>
    </row>
    <row r="10">
      <c r="A10" s="13" t="inlineStr">
        <is>
          <t>Current ratio (x)</t>
        </is>
      </c>
      <c r="B10" s="13" t="inlineStr">
        <is>
          <t>higher</t>
        </is>
      </c>
      <c r="C10" s="33" t="n">
        <v>0.9</v>
      </c>
      <c r="D10" s="33" t="n">
        <v>1.05</v>
      </c>
      <c r="E10" s="33" t="n">
        <v>1.2</v>
      </c>
      <c r="F10" s="33" t="n">
        <v>1.33</v>
      </c>
      <c r="G10" s="33" t="n">
        <v>1.5</v>
      </c>
      <c r="H10" s="33" t="n">
        <v>0.08</v>
      </c>
    </row>
    <row r="11"/>
    <row r="12">
      <c r="A12" s="9" t="inlineStr">
        <is>
          <t>EBITDA margin thresholds stored as fractions (0.25 = 25%) to match the Ratios sheet.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FINANCIAL-sector threshold bands (banks / NBFCs / HFCs) - score 1 strongest .. 6 weakest</t>
        </is>
      </c>
    </row>
    <row r="2">
      <c r="A2" s="9" t="inlineStr">
        <is>
          <t>Source: analyst assumptions reflecting CRISIL CRAMEL / ICRA &amp; CareEdge bank-NBFC frameworks and RBI norms (bank min CRAR ~11.5%, NBFC ~15%). Percentages stored as fractions (0.16 = 16%). ILLUSTRATIVE - calibrate before relying. Yellow = edit.</t>
        </is>
      </c>
    </row>
    <row r="3"/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Capital adequacy - CRAR (%)</t>
        </is>
      </c>
      <c r="B5" s="13" t="inlineStr">
        <is>
          <t>higher</t>
        </is>
      </c>
      <c r="C5" s="44" t="n">
        <v>0.11</v>
      </c>
      <c r="D5" s="44" t="n">
        <v>0.13</v>
      </c>
      <c r="E5" s="44" t="n">
        <v>0.15</v>
      </c>
      <c r="F5" s="44" t="n">
        <v>0.17</v>
      </c>
      <c r="G5" s="44" t="n">
        <v>0.19</v>
      </c>
      <c r="H5" s="33" t="n">
        <v>0.22</v>
      </c>
    </row>
    <row r="6">
      <c r="A6" s="13" t="inlineStr">
        <is>
          <t>Gross NPA (%)</t>
        </is>
      </c>
      <c r="B6" s="13" t="inlineStr">
        <is>
          <t>lower</t>
        </is>
      </c>
      <c r="C6" s="44" t="n">
        <v>0.01</v>
      </c>
      <c r="D6" s="44" t="n">
        <v>0.02</v>
      </c>
      <c r="E6" s="44" t="n">
        <v>0.03</v>
      </c>
      <c r="F6" s="44" t="n">
        <v>0.05</v>
      </c>
      <c r="G6" s="44" t="n">
        <v>0.08</v>
      </c>
      <c r="H6" s="33" t="n">
        <v>0.18</v>
      </c>
    </row>
    <row r="7">
      <c r="A7" s="13" t="inlineStr">
        <is>
          <t>Net NPA (%)</t>
        </is>
      </c>
      <c r="B7" s="13" t="inlineStr">
        <is>
          <t>lower</t>
        </is>
      </c>
      <c r="C7" s="44" t="n">
        <v>0.003</v>
      </c>
      <c r="D7" s="44" t="n">
        <v>0.007</v>
      </c>
      <c r="E7" s="44" t="n">
        <v>0.012</v>
      </c>
      <c r="F7" s="44" t="n">
        <v>0.02</v>
      </c>
      <c r="G7" s="44" t="n">
        <v>0.03</v>
      </c>
      <c r="H7" s="33" t="n">
        <v>0.15</v>
      </c>
    </row>
    <row r="8">
      <c r="A8" s="13" t="inlineStr">
        <is>
          <t>Return on assets - RoA (%)</t>
        </is>
      </c>
      <c r="B8" s="13" t="inlineStr">
        <is>
          <t>higher</t>
        </is>
      </c>
      <c r="C8" s="44" t="n">
        <v>0.005</v>
      </c>
      <c r="D8" s="44" t="n">
        <v>0.008999999999999999</v>
      </c>
      <c r="E8" s="44" t="n">
        <v>0.013</v>
      </c>
      <c r="F8" s="44" t="n">
        <v>0.017</v>
      </c>
      <c r="G8" s="44" t="n">
        <v>0.021</v>
      </c>
      <c r="H8" s="33" t="n">
        <v>0.2</v>
      </c>
    </row>
    <row r="9">
      <c r="A9" s="13" t="inlineStr">
        <is>
          <t>Net interest margin - NIM (%)</t>
        </is>
      </c>
      <c r="B9" s="13" t="inlineStr">
        <is>
          <t>higher</t>
        </is>
      </c>
      <c r="C9" s="44" t="n">
        <v>0.02</v>
      </c>
      <c r="D9" s="44" t="n">
        <v>0.027</v>
      </c>
      <c r="E9" s="44" t="n">
        <v>0.033</v>
      </c>
      <c r="F9" s="44" t="n">
        <v>0.04</v>
      </c>
      <c r="G9" s="44" t="n">
        <v>0.05</v>
      </c>
      <c r="H9" s="33" t="n">
        <v>0.13</v>
      </c>
    </row>
    <row r="10">
      <c r="A10" s="13" t="inlineStr">
        <is>
          <t>Cost-to-income (%)</t>
        </is>
      </c>
      <c r="B10" s="13" t="inlineStr">
        <is>
          <t>lower</t>
        </is>
      </c>
      <c r="C10" s="44" t="n">
        <v>0.4</v>
      </c>
      <c r="D10" s="44" t="n">
        <v>0.45</v>
      </c>
      <c r="E10" s="44" t="n">
        <v>0.5</v>
      </c>
      <c r="F10" s="44" t="n">
        <v>0.58</v>
      </c>
      <c r="G10" s="44" t="n">
        <v>0.68</v>
      </c>
      <c r="H10" s="33" t="n">
        <v>0.12</v>
      </c>
    </row>
    <row r="11"/>
    <row r="12">
      <c r="A12" s="9" t="inlineStr">
        <is>
          <t>For NBFCs/HFCs, CRAR captures leverage (higher CRAR = lower gearing). NIM for NBFCs = net interest spread. Cost-to-income applies to all.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2" max="2"/>
    <col width="46" customWidth="1" min="3" max="3"/>
    <col width="46" customWidth="1" min="4" max="4"/>
    <col width="46" customWidth="1" min="5" max="5"/>
  </cols>
  <sheetData>
    <row r="1"/>
    <row r="2">
      <c r="B2" s="47" t="inlineStr">
        <is>
          <t>Qualitative scoring rubric (1 = strongest ... 6 = weakest)</t>
        </is>
      </c>
    </row>
    <row r="3">
      <c r="B3" s="46" t="inlineStr">
        <is>
          <t>Anchors the Industry, Business and Management scores so two operators score alike (open item #4). Lifted from methodology language: ICRA 960 (industry/business/management), CRISIL 3-risk-profiles (market position = ability to sell PROFITABLY &amp; control price; risk appetite explicit), CareEdge blocks A-D. Pick the row whose description best fits; justify the pick in one line in the report.</t>
        </is>
      </c>
    </row>
    <row r="4"/>
    <row r="5">
      <c r="B5" s="48" t="inlineStr">
        <is>
          <t>Score</t>
        </is>
      </c>
      <c r="C5" s="48" t="inlineStr">
        <is>
          <t>Industry / operating-environment risk</t>
        </is>
      </c>
      <c r="D5" s="48" t="inlineStr">
        <is>
          <t>Business risk / market position</t>
        </is>
      </c>
      <c r="E5" s="48" t="inlineStr">
        <is>
          <t>Management &amp; governance</t>
        </is>
      </c>
    </row>
    <row r="6">
      <c r="B6" s="46" t="n">
        <v>1</v>
      </c>
      <c r="C6" s="46" t="inlineStr">
        <is>
          <t>Stable, non-cyclical, high entry barriers; strong structural pricing power (regulated utility / dominant-franchise economics).</t>
        </is>
      </c>
      <c r="D6" s="46" t="inlineStr">
        <is>
          <t>Dominant leadership with pricing power; broad segment/geographic/customer diversification; sustained through cycles.</t>
        </is>
      </c>
      <c r="E6" s="46" t="inlineStr">
        <is>
          <t>Exceptional track record; conservative, consistent financial policy; strong board independence &amp; disclosure; no RPT/governance flags.</t>
        </is>
      </c>
    </row>
    <row r="7">
      <c r="B7" s="46" t="n">
        <v>2</v>
      </c>
      <c r="C7" s="46" t="inlineStr">
        <is>
          <t>Favourable growth, moderate cyclicality, limited competition; generally able to pass through input costs.</t>
        </is>
      </c>
      <c r="D7" s="46" t="inlineStr">
        <is>
          <t>Strong market position (top-tier share); good diversification; able to pass on most cost increases.</t>
        </is>
      </c>
      <c r="E7" s="46" t="inlineStr">
        <is>
          <t>Strong track record; prudent financial policy; sound governance; minor, well-managed group linkages.</t>
        </is>
      </c>
    </row>
    <row r="8">
      <c r="B8" s="46" t="n">
        <v>3</v>
      </c>
      <c r="C8" s="46" t="inlineStr">
        <is>
          <t>Moderate growth and competition; some cyclicality; partial cost pass-through.</t>
        </is>
      </c>
      <c r="D8" s="46" t="inlineStr">
        <is>
          <t>Established mid-tier position; some concentration; average pricing power.</t>
        </is>
      </c>
      <c r="E8" s="46" t="inlineStr">
        <is>
          <t>Adequate track record and policy; governance broadly adequate; some moderate financial-policy or group-support demands.</t>
        </is>
      </c>
    </row>
    <row r="9">
      <c r="B9" s="46" t="n">
        <v>4</v>
      </c>
      <c r="C9" s="46" t="inlineStr">
        <is>
          <t>Cyclical and competitive; margins sensitive to the cycle; price-taker in part (import-parity exposure).</t>
        </is>
      </c>
      <c r="D9" s="46" t="inlineStr">
        <is>
          <t>Modest share or meaningful segment/customer concentration; weak pricing power in downturns.</t>
        </is>
      </c>
      <c r="E9" s="46" t="inlineStr">
        <is>
          <t>Aggressive financial policy or capex appetite larger than existing scale; moderate governance gaps.</t>
        </is>
      </c>
    </row>
    <row r="10">
      <c r="B10" s="46" t="n">
        <v>5</v>
      </c>
      <c r="C10" s="46" t="inlineStr">
        <is>
          <t>Highly cyclical / fragmented / structurally competitive; largely a price-taker to landed import cost.</t>
        </is>
      </c>
      <c r="D10" s="46" t="inlineStr">
        <is>
          <t>Weak position; high concentration; margins compress sharply in a downturn.</t>
        </is>
      </c>
      <c r="E10" s="46" t="inlineStr">
        <is>
          <t>Weak governance or promoter-pledge/related-party concerns; track record of aggressive leverage.</t>
        </is>
      </c>
    </row>
    <row r="11">
      <c r="B11" s="46" t="n">
        <v>6</v>
      </c>
      <c r="C11" s="46" t="inlineStr">
        <is>
          <t>Structurally stressed or declining industry; adverse regulation; persistent overcapacity.</t>
        </is>
      </c>
      <c r="D11" s="46" t="inlineStr">
        <is>
          <t>Marginal, uncompetitive position; no pricing power.</t>
        </is>
      </c>
      <c r="E11" s="46" t="inlineStr">
        <is>
          <t>Serious governance failures, going-concern/financial-policy concerns, or a poor debt-servicing record.</t>
        </is>
      </c>
    </row>
    <row r="12"/>
    <row r="13">
      <c r="B13" s="46" t="inlineStr">
        <is>
          <t>Note: Industry can be left blank on Inputs to accept the sector base score in Ref_Weights; enter 1-6 here-style to override. Business and Management are always entered from this rubric.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2026-07-12T03:16:17Z</dcterms:created>
  <dcterms:modified xmlns:dcterms="http://purl.org/dc/terms/" xmlns:xsi="http://www.w3.org/2001/XMLSchema-instance" xsi:type="dcterms:W3CDTF">2026-09-06T11:33:42Z</dcterms:modified>
</cp:coreProperties>
</file>