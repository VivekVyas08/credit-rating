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99999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9"/>
    </font>
    <font>
      <b val="1"/>
      <color rgb="00FFFFFF"/>
    </font>
    <font>
      <b val="1"/>
      <color rgb="001F3864"/>
      <sz val="11"/>
    </font>
    <font>
      <i val="1"/>
      <sz val="8"/>
    </font>
    <font>
      <b val="1"/>
      <color rgb="001F7A1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5" fontId="0" fillId="4" borderId="0" pivotButton="0" quotePrefix="0" xfId="0"/>
    <xf numFmtId="165" fontId="0" fillId="5" borderId="0" pivotButton="0" quotePrefix="0" xfId="0"/>
    <xf numFmtId="10" fontId="0" fillId="4" borderId="0" pivotButton="0" quotePrefix="0" xfId="0"/>
    <xf numFmtId="10" fontId="0" fillId="5" borderId="0" pivotButton="0" quotePrefix="0" xfId="0"/>
    <xf numFmtId="3" fontId="0" fillId="4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5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State Bank of India - 5-year projection model</t>
        </is>
      </c>
    </row>
    <row r="3">
      <c r="B3" s="2" t="inlineStr">
        <is>
          <t>Rs crore. FY2026 column is ACTUAL (green) and calibrates the model. Yellow = assumption. All else is a formula.</t>
        </is>
      </c>
    </row>
    <row r="5">
      <c r="B5" s="3" t="inlineStr">
        <is>
          <t>Line item</t>
        </is>
      </c>
      <c r="C5" s="3" t="inlineStr">
        <is>
          <t>Basis</t>
        </is>
      </c>
      <c r="D5" s="4" t="inlineStr">
        <is>
          <t>FY2026A</t>
        </is>
      </c>
      <c r="E5" s="4" t="inlineStr">
        <is>
          <t>FY2027E</t>
        </is>
      </c>
      <c r="F5" s="4" t="inlineStr">
        <is>
          <t>FY2028E</t>
        </is>
      </c>
      <c r="G5" s="4" t="inlineStr">
        <is>
          <t>FY2029E</t>
        </is>
      </c>
      <c r="H5" s="4" t="inlineStr">
        <is>
          <t>FY2030E</t>
        </is>
      </c>
      <c r="I5" s="4" t="inlineStr">
        <is>
          <t>FY2031E</t>
        </is>
      </c>
    </row>
    <row r="7">
      <c r="B7" s="5" t="inlineStr">
        <is>
          <t>ASSUMPTIONS</t>
        </is>
      </c>
    </row>
    <row r="8">
      <c r="B8" t="inlineStr">
        <is>
          <t>Advances growth (%)</t>
        </is>
      </c>
      <c r="C8" s="6" t="inlineStr">
        <is>
          <t>FY26A 16.87%; Q1FY27 18.63% YoY. Tapered to a funded pace.</t>
        </is>
      </c>
      <c r="D8" s="7" t="n">
        <v>0.1687</v>
      </c>
      <c r="E8" s="8" t="n">
        <v>0.15</v>
      </c>
      <c r="F8" s="8" t="n">
        <v>0.13</v>
      </c>
      <c r="G8" s="8" t="n">
        <v>0.12</v>
      </c>
      <c r="H8" s="8" t="n">
        <v>0.11</v>
      </c>
      <c r="I8" s="8" t="n">
        <v>0.1</v>
      </c>
    </row>
    <row r="9">
      <c r="B9" t="inlineStr">
        <is>
          <t>Deposits growth (%)</t>
        </is>
      </c>
      <c r="C9" s="6" t="inlineStr">
        <is>
          <t>FY26A 11.03%; Q1FY27 9.73%. Stepped up to fund advances and hold LDR near 85%.</t>
        </is>
      </c>
      <c r="D9" s="7" t="n">
        <v>0.1103</v>
      </c>
      <c r="E9" s="8" t="n">
        <v>0.12</v>
      </c>
      <c r="F9" s="8" t="n">
        <v>0.12</v>
      </c>
      <c r="G9" s="8" t="n">
        <v>0.115</v>
      </c>
      <c r="H9" s="8" t="n">
        <v>0.11</v>
      </c>
      <c r="I9" s="8" t="n">
        <v>0.11</v>
      </c>
    </row>
    <row r="10">
      <c r="B10" t="inlineStr">
        <is>
          <t>Investments growth (%)</t>
        </is>
      </c>
      <c r="C10" s="6" t="inlineStr">
        <is>
          <t>Held near deposit growth</t>
        </is>
      </c>
      <c r="D10" s="7" t="n">
        <v>0</v>
      </c>
      <c r="E10" s="8" t="n">
        <v>0.1</v>
      </c>
      <c r="F10" s="8" t="n">
        <v>0.1</v>
      </c>
      <c r="G10" s="8" t="n">
        <v>0.1</v>
      </c>
      <c r="H10" s="8" t="n">
        <v>0.1</v>
      </c>
      <c r="I10" s="8" t="n">
        <v>0.1</v>
      </c>
    </row>
    <row r="11">
      <c r="B11" t="inlineStr">
        <is>
          <t>NIM on interest-earning assets (%)</t>
        </is>
      </c>
      <c r="C11" s="6" t="inlineStr">
        <is>
          <t>CALIBRATED: FY26 NII / (advances+investments) = 2.566%. Reported whole-bank NIM of 2.91% is on the bank's own average interest-earning-asset base and is not the same denominator. Q1FY27 shows NIM recovering (+5bps QoQ whole bank).</t>
        </is>
      </c>
      <c r="D11" s="9" t="n">
        <v>0.02566004153070306</v>
      </c>
      <c r="E11" s="10" t="n">
        <v>0.026</v>
      </c>
      <c r="F11" s="10" t="n">
        <v>0.0263</v>
      </c>
      <c r="G11" s="10" t="n">
        <v>0.0265</v>
      </c>
      <c r="H11" s="10" t="n">
        <v>0.0265</v>
      </c>
      <c r="I11" s="10" t="n">
        <v>0.0265</v>
      </c>
    </row>
    <row r="12">
      <c r="B12" t="inlineStr">
        <is>
          <t>Other income / interest-earning assets (%)</t>
        </is>
      </c>
      <c r="C12" s="6" t="inlineStr">
        <is>
          <t>FY26A implied</t>
        </is>
      </c>
      <c r="D12" s="9" t="n">
        <v>0.01091248887570454</v>
      </c>
      <c r="E12" s="10" t="n">
        <v>0.0109</v>
      </c>
      <c r="F12" s="10" t="n">
        <v>0.0108</v>
      </c>
      <c r="G12" s="10" t="n">
        <v>0.0107</v>
      </c>
      <c r="H12" s="10" t="n">
        <v>0.0106</v>
      </c>
      <c r="I12" s="10" t="n">
        <v>0.0105</v>
      </c>
    </row>
    <row r="13">
      <c r="B13" t="inlineStr">
        <is>
          <t>Cost-to-income (%)</t>
        </is>
      </c>
      <c r="C13" s="6" t="inlineStr">
        <is>
          <t>FY26A 50.11%, improving from 51.64%</t>
        </is>
      </c>
      <c r="D13" s="7" t="n">
        <v>0.5011</v>
      </c>
      <c r="E13" s="8" t="n">
        <v>0.495</v>
      </c>
      <c r="F13" s="8" t="n">
        <v>0.49</v>
      </c>
      <c r="G13" s="8" t="n">
        <v>0.485</v>
      </c>
      <c r="H13" s="8" t="n">
        <v>0.48</v>
      </c>
      <c r="I13" s="8" t="n">
        <v>0.48</v>
      </c>
    </row>
    <row r="14">
      <c r="B14" t="inlineStr">
        <is>
          <t>Credit cost (% of avg advances)</t>
        </is>
      </c>
      <c r="C14" s="6" t="inlineStr">
        <is>
          <t>FY26A implied 0.33%; Q1FY27 0.27%. Normalised UPWARD through the forecast - a through-cycle assumption, not an extrapolation of the current benign level.</t>
        </is>
      </c>
      <c r="D14" s="11" t="n">
        <v>0.0033</v>
      </c>
      <c r="E14" s="12" t="n">
        <v>0.0035</v>
      </c>
      <c r="F14" s="12" t="n">
        <v>0.0038</v>
      </c>
      <c r="G14" s="12" t="n">
        <v>0.004</v>
      </c>
      <c r="H14" s="12" t="n">
        <v>0.004</v>
      </c>
      <c r="I14" s="12" t="n">
        <v>0.004</v>
      </c>
    </row>
    <row r="15">
      <c r="B15" t="inlineStr">
        <is>
          <t>Effective tax rate (%)</t>
        </is>
      </c>
      <c r="C15" s="6" t="inlineStr">
        <is>
          <t>Calibrated so FY26 PAT ties to Rs 80,032 cr</t>
        </is>
      </c>
      <c r="D15" s="7" t="n">
        <v>0.25</v>
      </c>
      <c r="E15" s="8" t="n">
        <v>0.25</v>
      </c>
      <c r="F15" s="8" t="n">
        <v>0.25</v>
      </c>
      <c r="G15" s="8" t="n">
        <v>0.25</v>
      </c>
      <c r="H15" s="8" t="n">
        <v>0.25</v>
      </c>
      <c r="I15" s="8" t="n">
        <v>0.25</v>
      </c>
    </row>
    <row r="16">
      <c r="B16" t="inlineStr">
        <is>
          <t>Dividend payout (%)</t>
        </is>
      </c>
      <c r="C16" s="6" t="inlineStr">
        <is>
          <t>FY26A 20.01% (Rs 17.35 DPS / Rs 87.59 EPS)</t>
        </is>
      </c>
      <c r="D16" s="7" t="n">
        <v>0.2001</v>
      </c>
      <c r="E16" s="8" t="n">
        <v>0.2</v>
      </c>
      <c r="F16" s="8" t="n">
        <v>0.2</v>
      </c>
      <c r="G16" s="8" t="n">
        <v>0.2</v>
      </c>
      <c r="H16" s="8" t="n">
        <v>0.2</v>
      </c>
      <c r="I16" s="8" t="n">
        <v>0.2</v>
      </c>
    </row>
    <row r="18">
      <c r="B18" s="5" t="inlineStr">
        <is>
          <t>BALANCE SHEET</t>
        </is>
      </c>
    </row>
    <row r="19">
      <c r="B19" t="inlineStr">
        <is>
          <t>Gross advances</t>
        </is>
      </c>
      <c r="C19" s="6" t="inlineStr">
        <is>
          <t>Grown at the assumed rate</t>
        </is>
      </c>
      <c r="D19" s="13" t="n">
        <v>4933000</v>
      </c>
      <c r="E19" s="14">
        <f>D19*(1+E8)</f>
        <v>5672950.0</v>
      </c>
      <c r="F19" s="14">
        <f>E19*(1+F8)</f>
        <v>6410433.499999999</v>
      </c>
      <c r="G19" s="14">
        <f>F19*(1+G8)</f>
        <v>7179685.52</v>
      </c>
      <c r="H19" s="14">
        <f>G19*(1+H8)</f>
        <v>7969450.9272</v>
      </c>
      <c r="I19" s="14">
        <f>H19*(1+I8)</f>
        <v>8766396.01992</v>
      </c>
    </row>
    <row r="20">
      <c r="B20" t="inlineStr">
        <is>
          <t>Investments</t>
        </is>
      </c>
      <c r="C20" s="6" t="inlineStr">
        <is>
          <t>Grown at the assumed rate</t>
        </is>
      </c>
      <c r="D20" s="13" t="n">
        <v>1809000</v>
      </c>
      <c r="E20" s="14">
        <f>D20*(1+E10)</f>
        <v>1989900.0000000002</v>
      </c>
      <c r="F20" s="14">
        <f>E20*(1+F10)</f>
        <v>2188890.0000000005</v>
      </c>
      <c r="G20" s="14">
        <f>F20*(1+G10)</f>
        <v>2407779.000000001</v>
      </c>
      <c r="H20" s="14">
        <f>G20*(1+H10)</f>
        <v>2648556.9000000013</v>
      </c>
      <c r="I20" s="14">
        <f>H20*(1+I10)</f>
        <v>2913412.5900000017</v>
      </c>
    </row>
    <row r="21">
      <c r="B21" t="inlineStr">
        <is>
          <t>Interest-earning assets</t>
        </is>
      </c>
      <c r="C21" s="6" t="inlineStr">
        <is>
          <t>Advances + investments</t>
        </is>
      </c>
      <c r="D21" s="13" t="n">
        <v>6742000</v>
      </c>
      <c r="E21" s="14">
        <f>E19+E20</f>
        <v>7662850.0</v>
      </c>
      <c r="F21" s="14">
        <f>F19+F20</f>
        <v>8599323.5</v>
      </c>
      <c r="G21" s="14">
        <f>G19+G20</f>
        <v>9587464.52</v>
      </c>
      <c r="H21" s="14">
        <f>H19+H20</f>
        <v>10618007.827200001</v>
      </c>
      <c r="I21" s="14">
        <f>I19+I20</f>
        <v>11679808.609920003</v>
      </c>
    </row>
    <row r="22">
      <c r="B22" t="inlineStr">
        <is>
          <t>Deposits</t>
        </is>
      </c>
      <c r="C22" s="6" t="inlineStr">
        <is>
          <t>Grown at the assumed rate</t>
        </is>
      </c>
      <c r="D22" s="13" t="n">
        <v>5976000</v>
      </c>
      <c r="E22" s="14">
        <f>D22*(1+E9)</f>
        <v>6693120.000000001</v>
      </c>
      <c r="F22" s="14">
        <f>E22*(1+F9)</f>
        <v>7496294.400000001</v>
      </c>
      <c r="G22" s="14">
        <f>F22*(1+G9)</f>
        <v>8358368.256000001</v>
      </c>
      <c r="H22" s="14">
        <f>G22*(1+H9)</f>
        <v>9277788.764160002</v>
      </c>
      <c r="I22" s="14">
        <f>H22*(1+I9)</f>
        <v>10298345.528217603</v>
      </c>
    </row>
    <row r="23">
      <c r="B23" t="inlineStr">
        <is>
          <t>Total assets</t>
        </is>
      </c>
      <c r="C23" s="6" t="inlineStr">
        <is>
          <t>Scaled with interest-earning assets</t>
        </is>
      </c>
      <c r="D23" s="13" t="n">
        <v>7600000</v>
      </c>
      <c r="E23" s="14">
        <f>E21*(D23/D21)</f>
        <v>8638039.157520024</v>
      </c>
      <c r="F23" s="14">
        <f>F21*(D23/D21)</f>
        <v>9693690.091960842</v>
      </c>
      <c r="G23" s="14">
        <f>G21*(D23/D21)</f>
        <v>10807583.855235834</v>
      </c>
      <c r="H23" s="14">
        <f>H21*(D23/D21)</f>
        <v>11969276.103043608</v>
      </c>
      <c r="I23" s="14">
        <f>I21*(D23/D21)</f>
        <v>13166203.713347971</v>
      </c>
    </row>
    <row r="25">
      <c r="B25" s="5" t="inlineStr">
        <is>
          <t>PROFIT AND LOSS</t>
        </is>
      </c>
    </row>
    <row r="26">
      <c r="B26" t="inlineStr">
        <is>
          <t>Net interest income</t>
        </is>
      </c>
      <c r="C26" s="6" t="inlineStr">
        <is>
          <t>NIM x average interest-earning assets</t>
        </is>
      </c>
      <c r="D26" s="13" t="n">
        <v>173000</v>
      </c>
      <c r="E26" s="14">
        <f>E11*AVERAGE(D21,E21)</f>
        <v>187263.05</v>
      </c>
      <c r="F26" s="14">
        <f>F11*AVERAGE(E21,F21)</f>
        <v>213847.58152500002</v>
      </c>
      <c r="G26" s="14">
        <f>G11*AVERAGE(F21,G21)</f>
        <v>240974.941265</v>
      </c>
      <c r="H26" s="14">
        <f>H11*AVERAGE(G21,H21)</f>
        <v>267722.5086004</v>
      </c>
      <c r="I26" s="14">
        <f>I11*AVERAGE(H21,I21)</f>
        <v>295446.06779184006</v>
      </c>
    </row>
    <row r="27">
      <c r="B27" t="inlineStr">
        <is>
          <t>Other income</t>
        </is>
      </c>
      <c r="C27" s="6" t="inlineStr">
        <is>
          <t>Rate x average interest-earning assets</t>
        </is>
      </c>
      <c r="D27" s="13" t="n">
        <v>73572</v>
      </c>
      <c r="E27" s="14">
        <f>E12*AVERAGE(D21,E21)</f>
        <v>78506.4325</v>
      </c>
      <c r="F27" s="14">
        <f>F12*AVERAGE(E21,F21)</f>
        <v>87815.7369</v>
      </c>
      <c r="G27" s="14">
        <f>G12*AVERAGE(F21,G21)</f>
        <v>97299.315907</v>
      </c>
      <c r="H27" s="14">
        <f>H12*AVERAGE(G21,H21)</f>
        <v>107089.00344016</v>
      </c>
      <c r="I27" s="14">
        <f>I12*AVERAGE(H21,I21)</f>
        <v>117063.53629488003</v>
      </c>
    </row>
    <row r="28">
      <c r="B28" t="inlineStr">
        <is>
          <t>Total net income</t>
        </is>
      </c>
      <c r="C28" s="6" t="inlineStr">
        <is>
          <t>NII + other income</t>
        </is>
      </c>
      <c r="D28" s="13" t="n">
        <v>246572</v>
      </c>
      <c r="E28" s="14">
        <f>E26+E27</f>
        <v>265769.4825</v>
      </c>
      <c r="F28" s="14">
        <f>F26+F27</f>
        <v>301663.318425</v>
      </c>
      <c r="G28" s="14">
        <f>G26+G27</f>
        <v>338274.257172</v>
      </c>
      <c r="H28" s="14">
        <f>H26+H27</f>
        <v>374811.51204056</v>
      </c>
      <c r="I28" s="14">
        <f>I26+I27</f>
        <v>412509.6040867201</v>
      </c>
    </row>
    <row r="29">
      <c r="B29" t="inlineStr">
        <is>
          <t>Operating expenses</t>
        </is>
      </c>
      <c r="C29" s="6" t="inlineStr">
        <is>
          <t>Cost-to-income x total net income</t>
        </is>
      </c>
      <c r="D29" s="13" t="n">
        <v>123557</v>
      </c>
      <c r="E29" s="14">
        <f>E13*E28</f>
        <v>131555.89383749999</v>
      </c>
      <c r="F29" s="14">
        <f>F13*F28</f>
        <v>147815.02602825</v>
      </c>
      <c r="G29" s="14">
        <f>G13*G28</f>
        <v>164063.01472842</v>
      </c>
      <c r="H29" s="14">
        <f>H13*H28</f>
        <v>179909.5257794688</v>
      </c>
      <c r="I29" s="14">
        <f>I13*I28</f>
        <v>198004.60996162563</v>
      </c>
    </row>
    <row r="30">
      <c r="B30" t="inlineStr">
        <is>
          <t>Operating profit</t>
        </is>
      </c>
      <c r="C30" s="6" t="inlineStr">
        <is>
          <t>Total net income less opex</t>
        </is>
      </c>
      <c r="D30" s="13" t="n">
        <v>123015</v>
      </c>
      <c r="E30" s="14">
        <f>E28-E29</f>
        <v>134213.5886625</v>
      </c>
      <c r="F30" s="14">
        <f>F28-F29</f>
        <v>153848.29239675</v>
      </c>
      <c r="G30" s="14">
        <f>G28-G29</f>
        <v>174211.24244358</v>
      </c>
      <c r="H30" s="14">
        <f>H28-H29</f>
        <v>194901.98626109122</v>
      </c>
      <c r="I30" s="14">
        <f>I28-I29</f>
        <v>214504.99412509447</v>
      </c>
    </row>
    <row r="31">
      <c r="B31" t="inlineStr">
        <is>
          <t>Provisions</t>
        </is>
      </c>
      <c r="C31" s="6" t="inlineStr">
        <is>
          <t>Credit cost x average advances</t>
        </is>
      </c>
      <c r="D31" s="13" t="n">
        <v>16305.66666666667</v>
      </c>
      <c r="E31" s="14">
        <f>E14*AVERAGE(D19,E19)</f>
        <v>18560.412500000002</v>
      </c>
      <c r="F31" s="14">
        <f>F14*AVERAGE(E19,F19)</f>
        <v>22958.42865</v>
      </c>
      <c r="G31" s="14">
        <f>G14*AVERAGE(F19,G19)</f>
        <v>27180.23804</v>
      </c>
      <c r="H31" s="14">
        <f>H14*AVERAGE(G19,H19)</f>
        <v>30298.2728944</v>
      </c>
      <c r="I31" s="14">
        <f>I14*AVERAGE(H19,I19)</f>
        <v>33471.69389424</v>
      </c>
    </row>
    <row r="32">
      <c r="B32" t="inlineStr">
        <is>
          <t>Profit before tax</t>
        </is>
      </c>
      <c r="C32" s="6" t="inlineStr">
        <is>
          <t>Operating profit less provisions</t>
        </is>
      </c>
      <c r="D32" s="13" t="n">
        <v>106709.3333333333</v>
      </c>
      <c r="E32" s="14">
        <f>E30-E31</f>
        <v>115653.17616249999</v>
      </c>
      <c r="F32" s="14">
        <f>F30-F31</f>
        <v>130889.86374675001</v>
      </c>
      <c r="G32" s="14">
        <f>G30-G31</f>
        <v>147031.00440358</v>
      </c>
      <c r="H32" s="14">
        <f>H30-H31</f>
        <v>164603.71336669123</v>
      </c>
      <c r="I32" s="14">
        <f>I30-I31</f>
        <v>181033.30023085448</v>
      </c>
    </row>
    <row r="33">
      <c r="B33" t="inlineStr">
        <is>
          <t>Profit after tax</t>
        </is>
      </c>
      <c r="C33" s="6" t="inlineStr">
        <is>
          <t>PBT x (1 - tax rate)</t>
        </is>
      </c>
      <c r="D33" s="13" t="n">
        <v>80032</v>
      </c>
      <c r="E33" s="14">
        <f>E32*(1-E15)</f>
        <v>86739.882121875</v>
      </c>
      <c r="F33" s="14">
        <f>F32*(1-F15)</f>
        <v>98167.39781006251</v>
      </c>
      <c r="G33" s="14">
        <f>G32*(1-G15)</f>
        <v>110273.25330268501</v>
      </c>
      <c r="H33" s="14">
        <f>H32*(1-H15)</f>
        <v>123452.78502501841</v>
      </c>
      <c r="I33" s="14">
        <f>I32*(1-I15)</f>
        <v>135774.97517314088</v>
      </c>
    </row>
    <row r="35">
      <c r="B35" s="5" t="inlineStr">
        <is>
          <t>CAPITAL</t>
        </is>
      </c>
    </row>
    <row r="36">
      <c r="B36" t="inlineStr">
        <is>
          <t>Tier I capital (opening)</t>
        </is>
      </c>
      <c r="C36" s="6" t="inlineStr">
        <is>
          <t>Prior-year closing; FY2026 is the disclosed Tier I</t>
        </is>
      </c>
      <c r="D36" s="13" t="n">
        <v>527992</v>
      </c>
      <c r="E36" s="14">
        <f>D38</f>
        <v>592009.5968</v>
      </c>
      <c r="F36" s="14">
        <f>E38</f>
        <v>661401.5024975</v>
      </c>
      <c r="G36" s="14">
        <f>F38</f>
        <v>739935.4207455501</v>
      </c>
      <c r="H36" s="14">
        <f>G38</f>
        <v>828154.0233876981</v>
      </c>
      <c r="I36" s="14">
        <f>H38</f>
        <v>926916.2514077128</v>
      </c>
    </row>
    <row r="37">
      <c r="B37" t="inlineStr">
        <is>
          <t>Retained accretion</t>
        </is>
      </c>
      <c r="C37" s="6" t="inlineStr">
        <is>
          <t>PAT x (1 - payout)</t>
        </is>
      </c>
      <c r="D37" s="13" t="n">
        <v>64017.59680000001</v>
      </c>
      <c r="E37" s="14">
        <f>E33*(1-E16)</f>
        <v>69391.9056975</v>
      </c>
      <c r="F37" s="14">
        <f>F33*(1-F16)</f>
        <v>78533.91824805002</v>
      </c>
      <c r="G37" s="14">
        <f>G33*(1-G16)</f>
        <v>88218.60264214802</v>
      </c>
      <c r="H37" s="14">
        <f>H33*(1-H16)</f>
        <v>98762.22802001474</v>
      </c>
      <c r="I37" s="14">
        <f>I33*(1-I16)</f>
        <v>108619.9801385127</v>
      </c>
    </row>
    <row r="38">
      <c r="B38" t="inlineStr">
        <is>
          <t>Tier I capital (closing)</t>
        </is>
      </c>
      <c r="C38" s="6" t="inlineStr">
        <is>
          <t>Opening + retained accretion</t>
        </is>
      </c>
      <c r="D38" s="13" t="n">
        <v>592009.5968000001</v>
      </c>
      <c r="E38" s="14">
        <f>E36+E37</f>
        <v>661401.5024975</v>
      </c>
      <c r="F38" s="14">
        <f>F36+F37</f>
        <v>739935.4207455501</v>
      </c>
      <c r="G38" s="14">
        <f>G36+G37</f>
        <v>828154.0233876981</v>
      </c>
      <c r="H38" s="14">
        <f>H36+H37</f>
        <v>926916.2514077128</v>
      </c>
      <c r="I38" s="14">
        <f>I36+I37</f>
        <v>1035536.2315462255</v>
      </c>
    </row>
    <row r="40">
      <c r="B40" s="5" t="inlineStr">
        <is>
          <t>RATIOS</t>
        </is>
      </c>
    </row>
    <row r="41">
      <c r="B41" t="inlineStr">
        <is>
          <t>Return on average assets (%)</t>
        </is>
      </c>
      <c r="C41" s="6" t="inlineStr">
        <is>
          <t>PAT / average total assets</t>
        </is>
      </c>
      <c r="D41" s="11" t="n">
        <v>0.0112</v>
      </c>
      <c r="E41" s="15">
        <f>E33/AVERAGE(D23,E23)</f>
        <v>0.010683541440002595</v>
      </c>
      <c r="F41" s="15">
        <f>F33/AVERAGE(E23,F23)</f>
        <v>0.010710107756238272</v>
      </c>
      <c r="G41" s="15">
        <f>G33/AVERAGE(F23,G23)</f>
        <v>0.010757697652029441</v>
      </c>
      <c r="H41" s="15">
        <f>H33/AVERAGE(G23,H23)</f>
        <v>0.010840193534240266</v>
      </c>
      <c r="I41" s="15">
        <f>I33/AVERAGE(H23,I23)</f>
        <v>0.01080345202597629</v>
      </c>
    </row>
    <row r="42">
      <c r="B42" t="inlineStr">
        <is>
          <t>Return on avg Tier I capital (%)</t>
        </is>
      </c>
      <c r="C42" s="6" t="inlineStr">
        <is>
          <t>PAT / average Tier I. NOT book RoE - Tier I is the disclosed regulatory base, so this reads below the reported RoE of 18.57%.</t>
        </is>
      </c>
      <c r="D42" s="11" t="n">
        <v>0.1515780542129426</v>
      </c>
      <c r="E42" s="15">
        <f>E33/AVERAGE(E36,E38)</f>
        <v>0.13840611778608014</v>
      </c>
      <c r="F42" s="15">
        <f>F33/AVERAGE(F36,F38)</f>
        <v>0.14010534680393374</v>
      </c>
      <c r="G42" s="15">
        <f>G33/AVERAGE(G36,G38)</f>
        <v>0.140646636855129</v>
      </c>
      <c r="H42" s="15">
        <f>H33/AVERAGE(H36,H38)</f>
        <v>0.14068130125377384</v>
      </c>
      <c r="I42" s="15">
        <f>I33/AVERAGE(I36,I38)</f>
        <v>0.138372751801632</v>
      </c>
    </row>
    <row r="43">
      <c r="B43" t="inlineStr">
        <is>
          <t>Advances / deposits (%)</t>
        </is>
      </c>
      <c r="C43" s="6" t="inlineStr">
        <is>
          <t>Loan-to-deposit ratio</t>
        </is>
      </c>
      <c r="D43" s="7" t="n">
        <v>0.8254685408299867</v>
      </c>
      <c r="E43" s="16">
        <f>E19/E22</f>
        <v>0.8475793053165039</v>
      </c>
      <c r="F43" s="16">
        <f>F19/F22</f>
        <v>0.8551469776854012</v>
      </c>
      <c r="G43" s="16">
        <f>G19/G22</f>
        <v>0.8589817174956498</v>
      </c>
      <c r="H43" s="16">
        <f>H19/H22</f>
        <v>0.8589817174956498</v>
      </c>
      <c r="I43" s="16">
        <f>I19/I22</f>
        <v>0.8512431434641574</v>
      </c>
    </row>
    <row r="44">
      <c r="B44" t="inlineStr">
        <is>
          <t>Tier I / advances (%)</t>
        </is>
      </c>
      <c r="C44" s="6" t="inlineStr">
        <is>
          <t>Capital intensity proxy</t>
        </is>
      </c>
      <c r="D44" s="7" t="n">
        <v>0.1070326373403608</v>
      </c>
      <c r="E44" s="16">
        <f>E38/E19</f>
        <v>0.11658863598260165</v>
      </c>
      <c r="F44" s="16">
        <f>F38/F19</f>
        <v>0.11542673685727341</v>
      </c>
      <c r="G44" s="16">
        <f>G38/G19</f>
        <v>0.11534683811439392</v>
      </c>
      <c r="H44" s="16">
        <f>H38/H19</f>
        <v>0.11630867168578916</v>
      </c>
      <c r="I44" s="16">
        <f>I38/I19</f>
        <v>0.11812565040333137</v>
      </c>
    </row>
    <row r="46">
      <c r="B46" s="5" t="inlineStr">
        <is>
          <t>CALIBRATION TIE-OUTS (FY2026 actual vs model construction)</t>
        </is>
      </c>
    </row>
    <row r="47">
      <c r="B47" t="inlineStr">
        <is>
          <t>NII reconstruction</t>
        </is>
      </c>
      <c r="C47" s="6" t="inlineStr">
        <is>
          <t>model</t>
        </is>
      </c>
      <c r="D47" s="17">
        <f>D11*D21</f>
        <v>172999.99999999962</v>
      </c>
      <c r="E47" s="17" t="n">
        <v>173000</v>
      </c>
      <c r="F47" s="18" t="inlineStr">
        <is>
          <t>OK</t>
        </is>
      </c>
    </row>
    <row r="48">
      <c r="B48" t="inlineStr">
        <is>
          <t>Operating profit reconstruction</t>
        </is>
      </c>
      <c r="C48" s="6" t="inlineStr">
        <is>
          <t>model</t>
        </is>
      </c>
      <c r="D48" s="17">
        <f>D28-D29</f>
        <v>123015.0</v>
      </c>
      <c r="E48" s="17" t="n">
        <v>123015</v>
      </c>
      <c r="F48" s="18" t="inlineStr">
        <is>
          <t>OK</t>
        </is>
      </c>
    </row>
    <row r="49">
      <c r="B49" t="inlineStr">
        <is>
          <t>PAT reconstruction</t>
        </is>
      </c>
      <c r="C49" s="6" t="inlineStr">
        <is>
          <t>model</t>
        </is>
      </c>
      <c r="D49" s="17">
        <f>D32*(1-D15)</f>
        <v>80031.99999999997</v>
      </c>
      <c r="E49" s="17" t="n">
        <v>80032</v>
      </c>
      <c r="F49" s="18" t="inlineStr">
        <is>
          <t>OK</t>
        </is>
      </c>
    </row>
    <row r="50">
      <c r="B50" t="inlineStr">
        <is>
          <t>Cost-to-income reconstruction</t>
        </is>
      </c>
      <c r="C50" s="6" t="inlineStr">
        <is>
          <t>model</t>
        </is>
      </c>
      <c r="D50" s="17">
        <f>D29/D28</f>
        <v>0.5010990704540662</v>
      </c>
      <c r="E50" s="17" t="n">
        <v>0.5011</v>
      </c>
      <c r="F50" s="18" t="inlineStr">
        <is>
          <t>OK</t>
        </is>
      </c>
    </row>
    <row r="53">
      <c r="B53" s="5" t="inlineStr">
        <is>
          <t>STRESS CASE (methodology variable: credit cost)</t>
        </is>
      </c>
    </row>
    <row r="54">
      <c r="B54" s="2" t="inlineStr">
        <is>
          <t>Downward rating factor per the rationale is 'GNPAs crossing 10%, leading to a decline in</t>
        </is>
      </c>
    </row>
    <row r="55">
      <c r="B55" s="2" t="inlineStr">
        <is>
          <t>profitability'. Modelling that directly: at a credit cost of 2.50% of average advances</t>
        </is>
      </c>
    </row>
    <row r="56">
      <c r="B56" s="2" t="inlineStr">
        <is>
          <t>(against 0.33% actual in FY2026), provisions in FY2027 would rise to roughly</t>
        </is>
      </c>
    </row>
    <row r="57">
      <c r="B57" s="2" t="inlineStr">
        <is>
          <t>Rs 1,43,000 crore against operating profit near Rs 1,33,000 crore - the bank would move to</t>
        </is>
      </c>
    </row>
    <row r="58">
      <c r="B58" s="2" t="inlineStr">
        <is>
          <t>a pre-tax loss. That is the scale of deterioration the downward trigger implies, and it is</t>
        </is>
      </c>
    </row>
    <row r="59">
      <c r="B59" s="2" t="inlineStr">
        <is>
          <t>roughly 7.5x the current credit cost. Nothing in the FY2026 or Q1FY27 data points toward</t>
        </is>
      </c>
    </row>
    <row r="60">
      <c r="B60" s="2" t="inlineStr">
        <is>
          <t>it: slippage is 0.57%, credit cost 0.27% and GNPA 1.47% and still falling.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2026-08-14T12:18:52Z</dcterms:created>
  <dcterms:modified xmlns:dcterms="http://purl.org/dc/terms/" xmlns:xsi="http://www.w3.org/2001/XMLSchema-instance" xsi:type="dcterms:W3CDTF">2026-08-14T12:18:52Z</dcterms:modified>
</cp:coreProperties>
</file>