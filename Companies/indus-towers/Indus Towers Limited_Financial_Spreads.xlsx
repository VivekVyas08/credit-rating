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RatioSuite" sheetId="2" state="visible" r:id="rId2"/>
    <sheet xmlns:r="http://schemas.openxmlformats.org/officeDocument/2006/relationships" name="TieOut" sheetId="3" state="visible" r:id="rId3"/>
    <sheet xmlns:r="http://schemas.openxmlformats.org/officeDocument/2006/relationships" name="RatingScore" sheetId="4" state="visible" r:id="rId4"/>
  </sheets>
  <definedNames/>
  <calcPr calcId="99999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0&quot;x&quot;"/>
    <numFmt numFmtId="167" formatCode="0.0&quot;x&quot;"/>
  </numFmts>
  <fonts count="7">
    <font>
      <name val="Calibri"/>
      <family val="2"/>
      <color theme="1"/>
      <sz val="11"/>
      <scheme val="minor"/>
    </font>
    <font>
      <b val="1"/>
      <color rgb="001B2A4A"/>
      <sz val="13"/>
    </font>
    <font>
      <i val="1"/>
      <color rgb="00666666"/>
      <sz val="9"/>
    </font>
    <font>
      <b val="1"/>
      <color rgb="00FFFFFF"/>
    </font>
    <font>
      <b val="1"/>
    </font>
    <font/>
    <font>
      <b val="1"/>
      <color rgb="000E7C86"/>
    </font>
  </fonts>
  <fills count="4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9E6"/>
      </patternFill>
    </fill>
  </fills>
  <borders count="2">
    <border>
      <left/>
      <right/>
      <top/>
      <bottom/>
      <diagonal/>
    </border>
    <border>
      <left style="thin">
        <color rgb="00D6DEE8"/>
      </left>
      <right style="thin">
        <color rgb="00D6DEE8"/>
      </right>
      <top style="thin">
        <color rgb="00D6DEE8"/>
      </top>
      <bottom style="thin">
        <color rgb="00D6DEE8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164" fontId="0" fillId="3" borderId="1" pivotButton="0" quotePrefix="0" xfId="0"/>
    <xf numFmtId="0" fontId="2" fillId="0" borderId="1" applyAlignment="1" pivotButton="0" quotePrefix="0" xfId="0">
      <alignment vertical="top" wrapText="1"/>
    </xf>
    <xf numFmtId="3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" fontId="0" fillId="0" borderId="1" pivotButton="0" quotePrefix="0" xfId="0"/>
    <xf numFmtId="4" fontId="0" fillId="0" borderId="1" pivotButton="0" quotePrefix="0" xfId="0"/>
    <xf numFmtId="0" fontId="4" fillId="0" borderId="1" applyAlignment="1" pivotButton="0" quotePrefix="0" xfId="0">
      <alignment horizontal="center"/>
    </xf>
    <xf numFmtId="0" fontId="2" fillId="0" borderId="0" pivotButton="0" quotePrefix="0" xfId="0"/>
    <xf numFmtId="0" fontId="0" fillId="3" borderId="1" applyAlignment="1" pivotButton="0" quotePrefix="0" xfId="0">
      <alignment horizontal="center"/>
    </xf>
    <xf numFmtId="9" fontId="0" fillId="3" borderId="1" pivotButton="0" quotePrefix="0" xfId="0"/>
    <xf numFmtId="2" fontId="0" fillId="0" borderId="1" pivotButton="0" quotePrefix="0" xfId="0"/>
    <xf numFmtId="0" fontId="4" fillId="0" borderId="0" pivotButton="0" quotePrefix="0" xfId="0"/>
    <xf numFmtId="9" fontId="4" fillId="0" borderId="0" pivotButton="0" quotePrefix="0" xfId="0"/>
    <xf numFmtId="2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3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2" max="2"/>
    <col width="14" customWidth="1" min="3" max="3"/>
    <col width="14" customWidth="1" min="4" max="4"/>
    <col width="14" customWidth="1" min="5" max="5"/>
    <col width="64" customWidth="1" min="6" max="6"/>
  </cols>
  <sheetData>
    <row r="2">
      <c r="B2" s="1" t="inlineStr">
        <is>
          <t>Indus Towers Limited - extracted line items (Consolidated, Rs crore)</t>
        </is>
      </c>
    </row>
    <row r="3" ht="42" customHeight="1">
      <c r="B3" s="2" t="inlineStr">
        <is>
          <t>Yellow cells are EXTRACTED INPUTS traced to the source in the final column - nothing here is computed. Every downstream ratio references this sheet, so correcting a value here reflows the entire workbook.</t>
        </is>
      </c>
    </row>
    <row r="5">
      <c r="B5" s="3" t="inlineStr">
        <is>
          <t>Line item</t>
        </is>
      </c>
      <c r="C5" s="3" t="inlineStr">
        <is>
          <t>FY2024</t>
        </is>
      </c>
      <c r="D5" s="3" t="inlineStr">
        <is>
          <t>FY2025</t>
        </is>
      </c>
      <c r="E5" s="3" t="inlineStr">
        <is>
          <t>FY2026</t>
        </is>
      </c>
      <c r="F5" s="3" t="inlineStr">
        <is>
          <t>Source</t>
        </is>
      </c>
    </row>
    <row r="6">
      <c r="B6" s="4" t="inlineStr">
        <is>
          <t>Revenue from operations</t>
        </is>
      </c>
      <c r="C6" s="5" t="n">
        <v>28601</v>
      </c>
      <c r="D6" s="5" t="n">
        <v>30123</v>
      </c>
      <c r="E6" s="5" t="n">
        <v>32493</v>
      </c>
      <c r="F6" s="6" t="inlineStr">
        <is>
          <t>FY26 Integrated Report, consolidated P&amp;L L15246 / FY25 AR, consolidated (FY24 comparative) L12964</t>
        </is>
      </c>
    </row>
    <row r="7">
      <c r="B7" s="4" t="inlineStr">
        <is>
          <t>Other income</t>
        </is>
      </c>
      <c r="C7" s="5" t="n">
        <v>361</v>
      </c>
      <c r="D7" s="5" t="n">
        <v>346</v>
      </c>
      <c r="E7" s="5" t="n">
        <v>477</v>
      </c>
      <c r="F7" s="6" t="inlineStr">
        <is>
          <t>FY26 Integrated Report, consolidated P&amp;L L15247</t>
        </is>
      </c>
    </row>
    <row r="8">
      <c r="B8" s="4" t="inlineStr">
        <is>
          <t>EBITDA as reported</t>
        </is>
      </c>
      <c r="C8" s="5" t="n">
        <v>15055</v>
      </c>
      <c r="D8" s="5" t="n">
        <v>21190</v>
      </c>
      <c r="E8" s="5" t="n">
        <v>18453</v>
      </c>
      <c r="F8" s="6" t="inlineStr">
        <is>
          <t>FY26 Integrated Report, consolidated P&amp;L L15256 (before D&amp;A, finance, charity, tax)</t>
        </is>
      </c>
    </row>
    <row r="9">
      <c r="B9" s="4" t="inlineStr">
        <is>
          <t>Allowance write-back (credit)</t>
        </is>
      </c>
      <c r="C9" s="5" t="n">
        <v>0</v>
      </c>
      <c r="D9" s="5" t="n">
        <v>5077</v>
      </c>
      <c r="E9" s="5" t="n">
        <v>256</v>
      </c>
      <c r="F9" s="6" t="inlineStr">
        <is>
          <t>FY26 Integrated Report, consolidated Note 32 L17169 - 'Allowances for doubtful receivables (net)' REVERSAL</t>
        </is>
      </c>
    </row>
    <row r="10">
      <c r="B10" s="4" t="inlineStr">
        <is>
          <t>Depreciation &amp; amortisation</t>
        </is>
      </c>
      <c r="C10" s="5" t="n">
        <v>6060</v>
      </c>
      <c r="D10" s="5" t="n">
        <v>6402</v>
      </c>
      <c r="E10" s="5" t="n">
        <v>7141</v>
      </c>
      <c r="F10" s="6" t="inlineStr">
        <is>
          <t>FY26 Integrated Report, consolidated P&amp;L L15261 (net of general-reserve adj.)</t>
        </is>
      </c>
    </row>
    <row r="11">
      <c r="B11" s="4" t="inlineStr">
        <is>
          <t>Finance costs (incl. lease interest)</t>
        </is>
      </c>
      <c r="C11" s="5" t="n">
        <v>1864</v>
      </c>
      <c r="D11" s="5" t="n">
        <v>1858</v>
      </c>
      <c r="E11" s="5" t="n">
        <v>1893</v>
      </c>
      <c r="F11" s="6" t="inlineStr">
        <is>
          <t>FY26 Integrated Report, consolidated P&amp;L L15262</t>
        </is>
      </c>
    </row>
    <row r="12">
      <c r="B12" s="4" t="inlineStr">
        <is>
          <t>PAT as reported</t>
        </is>
      </c>
      <c r="C12" s="5" t="n">
        <v>6036</v>
      </c>
      <c r="D12" s="5" t="n">
        <v>9932</v>
      </c>
      <c r="E12" s="5" t="n">
        <v>7145</v>
      </c>
      <c r="F12" s="6" t="inlineStr">
        <is>
          <t>FY26 Integrated Report, consolidated P&amp;L L15269</t>
        </is>
      </c>
    </row>
    <row r="13">
      <c r="B13" s="4" t="inlineStr">
        <is>
          <t>Borrowings (non-current + current)</t>
        </is>
      </c>
      <c r="C13" s="5" t="n">
        <v>4312</v>
      </c>
      <c r="D13" s="5" t="n">
        <v>2262</v>
      </c>
      <c r="E13" s="5" t="n">
        <v>921</v>
      </c>
      <c r="F13" s="6" t="inlineStr">
        <is>
          <t>FY26 Integrated Report, consolidated BS L15191+L15200</t>
        </is>
      </c>
    </row>
    <row r="14">
      <c r="B14" s="4" t="inlineStr">
        <is>
          <t>Lease liabilities (NC + current)</t>
        </is>
      </c>
      <c r="C14" s="5" t="n">
        <v>16219</v>
      </c>
      <c r="D14" s="5" t="n">
        <v>18893</v>
      </c>
      <c r="E14" s="5" t="n">
        <v>20206</v>
      </c>
      <c r="F14" s="6" t="inlineStr">
        <is>
          <t>FY26 Integrated Report, consolidated BS L15192+L15201</t>
        </is>
      </c>
    </row>
    <row r="15">
      <c r="B15" s="4" t="inlineStr">
        <is>
          <t>Cash + bank balances</t>
        </is>
      </c>
      <c r="C15" s="5" t="n">
        <v>63</v>
      </c>
      <c r="D15" s="5" t="n">
        <v>1856</v>
      </c>
      <c r="E15" s="5" t="n">
        <v>1552</v>
      </c>
      <c r="F15" s="6" t="inlineStr">
        <is>
          <t>FY26 Integrated Report, consolidated BS L15178+L15179</t>
        </is>
      </c>
    </row>
    <row r="16">
      <c r="B16" s="4" t="inlineStr">
        <is>
          <t>Current investments</t>
        </is>
      </c>
      <c r="C16" s="5" t="n">
        <v>0</v>
      </c>
      <c r="D16" s="5" t="n">
        <v>1486</v>
      </c>
      <c r="E16" s="5" t="n">
        <v>4305</v>
      </c>
      <c r="F16" s="6" t="inlineStr">
        <is>
          <t>FY26 Integrated Report, consolidated BS L15176</t>
        </is>
      </c>
    </row>
    <row r="17">
      <c r="B17" s="4" t="inlineStr">
        <is>
          <t>Total equity (networth)</t>
        </is>
      </c>
      <c r="C17" s="5" t="n">
        <v>27039</v>
      </c>
      <c r="D17" s="5" t="n">
        <v>32498</v>
      </c>
      <c r="E17" s="5" t="n">
        <v>39646</v>
      </c>
      <c r="F17" s="6" t="inlineStr">
        <is>
          <t>FY26 Integrated Report, consolidated BS L15188</t>
        </is>
      </c>
    </row>
    <row r="18">
      <c r="B18" s="4" t="inlineStr">
        <is>
          <t>Total assets</t>
        </is>
      </c>
      <c r="C18" s="5" t="n">
        <v>55868</v>
      </c>
      <c r="D18" s="5" t="n">
        <v>63170</v>
      </c>
      <c r="E18" s="5" t="n">
        <v>71316</v>
      </c>
      <c r="F18" s="6" t="inlineStr">
        <is>
          <t>FY26 Integrated Report, consolidated BS L15183</t>
        </is>
      </c>
    </row>
    <row r="19">
      <c r="B19" s="4" t="inlineStr">
        <is>
          <t>Trade receivables</t>
        </is>
      </c>
      <c r="C19" s="5" t="n">
        <v>6451</v>
      </c>
      <c r="D19" s="5" t="n">
        <v>4768</v>
      </c>
      <c r="E19" s="5" t="n">
        <v>4939</v>
      </c>
      <c r="F19" s="6" t="inlineStr">
        <is>
          <t>FY26 Integrated Report, consolidated BS L15177</t>
        </is>
      </c>
    </row>
    <row r="20">
      <c r="B20" s="4" t="inlineStr">
        <is>
          <t>Capital expenditure</t>
        </is>
      </c>
      <c r="C20" s="5" t="n"/>
      <c r="D20" s="5" t="n">
        <v>6870</v>
      </c>
      <c r="E20" s="5" t="n">
        <v>8817</v>
      </c>
      <c r="F20" s="6" t="inlineStr">
        <is>
          <t>FY26 IR (capex disclosure); FY25 per agency-published comparative</t>
        </is>
      </c>
    </row>
    <row r="21">
      <c r="B21" s="4" t="inlineStr">
        <is>
          <t>Towers (number)</t>
        </is>
      </c>
      <c r="C21" s="5" t="n"/>
      <c r="D21" s="5" t="n">
        <v>249305</v>
      </c>
      <c r="E21" s="5" t="n">
        <v>264514</v>
      </c>
      <c r="F21" s="6" t="inlineStr">
        <is>
          <t>FY26 Integrated Report, consolidated - macro towers</t>
        </is>
      </c>
    </row>
    <row r="22">
      <c r="B22" s="4" t="inlineStr">
        <is>
          <t>Co-locations (number)</t>
        </is>
      </c>
      <c r="C22" s="5" t="n"/>
      <c r="D22" s="5" t="n">
        <v>405435</v>
      </c>
      <c r="E22" s="5" t="n">
        <v>428014</v>
      </c>
      <c r="F22" s="6" t="inlineStr">
        <is>
          <t>FY26 Integrated Report, consolidated - macro co-locations</t>
        </is>
      </c>
    </row>
    <row r="23">
      <c r="B23" s="4" t="inlineStr">
        <is>
          <t>Tenancy / sharing ratio (x)</t>
        </is>
      </c>
      <c r="C23" s="5" t="n"/>
      <c r="D23" s="5" t="n">
        <v>1.65</v>
      </c>
      <c r="E23" s="5" t="n">
        <v>1.62</v>
      </c>
      <c r="F23" s="6" t="inlineStr">
        <is>
          <t>FY26 Integrated Report, consolidated - 'Industry-leading tenancy ratio 1.62'</t>
        </is>
      </c>
    </row>
  </sheetData>
  <mergeCells count="1">
    <mergeCell ref="B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2" max="2"/>
    <col width="14" customWidth="1" min="3" max="3"/>
    <col width="14" customWidth="1" min="4" max="4"/>
    <col width="14" customWidth="1" min="5" max="5"/>
    <col width="46" customWidth="1" min="6" max="6"/>
    <col width="52" customWidth="1" min="7" max="7"/>
  </cols>
  <sheetData>
    <row r="2">
      <c r="B2" s="1" t="inlineStr">
        <is>
          <t>Indus Towers Limited - ratio suite (Consolidated, Rs crore; agency conventions applied)</t>
        </is>
      </c>
    </row>
    <row r="3" ht="42" customHeight="1">
      <c r="B3" s="2" t="inlineStr">
        <is>
          <t>Every value is a LIVE FORMULA referencing the Inputs sheet - click any cell to see the arithmetic. 'Calculation' states the same formula in words; 'Convention' records the definitional choice (lease treatment, normalisation, netting) so the basis is auditable.</t>
        </is>
      </c>
    </row>
    <row r="5">
      <c r="B5" s="3" t="inlineStr">
        <is>
          <t>Ratio</t>
        </is>
      </c>
      <c r="C5" s="3" t="inlineStr">
        <is>
          <t>FY2024</t>
        </is>
      </c>
      <c r="D5" s="3" t="inlineStr">
        <is>
          <t>FY2025</t>
        </is>
      </c>
      <c r="E5" s="3" t="inlineStr">
        <is>
          <t>FY2026</t>
        </is>
      </c>
      <c r="F5" s="3" t="inlineStr">
        <is>
          <t>Calculation</t>
        </is>
      </c>
      <c r="G5" s="3" t="inlineStr">
        <is>
          <t>Convention / note</t>
        </is>
      </c>
    </row>
    <row r="6">
      <c r="B6" s="4" t="inlineStr">
        <is>
          <t>EBITDA - NORMALISED</t>
        </is>
      </c>
      <c r="C6" s="7">
        <f>Inputs!C8-Inputs!C9</f>
        <v>15055.0</v>
      </c>
      <c r="D6" s="7">
        <f>Inputs!D8-Inputs!D9</f>
        <v>16113.0</v>
      </c>
      <c r="E6" s="7">
        <f>Inputs!E8-Inputs!E9</f>
        <v>18197.0</v>
      </c>
      <c r="F6" s="6" t="inlineStr">
        <is>
          <t>Reported EBITDA less the doubtful-debt write-back credit</t>
        </is>
      </c>
    </row>
    <row r="7">
      <c r="B7" s="4" t="inlineStr">
        <is>
          <t>EBITDA margin - normalised</t>
        </is>
      </c>
      <c r="C7" s="8">
        <f>(Inputs!C8-Inputs!C9)/Inputs!C6</f>
        <v>0.526380196496626</v>
      </c>
      <c r="D7" s="8">
        <f>(Inputs!D8-Inputs!D9)/Inputs!D6</f>
        <v>0.5349068817846828</v>
      </c>
      <c r="E7" s="8">
        <f>(Inputs!E8-Inputs!E9)/Inputs!E6</f>
        <v>0.5600283137906626</v>
      </c>
      <c r="F7" s="6" t="inlineStr">
        <is>
          <t>Normalised EBITDA / revenue</t>
        </is>
      </c>
    </row>
    <row r="8">
      <c r="B8" s="4" t="inlineStr">
        <is>
          <t>Total debt (borrowings only)</t>
        </is>
      </c>
      <c r="C8" s="7">
        <f>Inputs!C13</f>
        <v>4312.0</v>
      </c>
      <c r="D8" s="7">
        <f>Inputs!D13</f>
        <v>2262.0</v>
      </c>
      <c r="E8" s="7">
        <f>Inputs!E13</f>
        <v>921.0</v>
      </c>
      <c r="F8" s="6" t="inlineStr">
        <is>
          <t>Non-current + current borrowings</t>
        </is>
      </c>
    </row>
    <row r="9">
      <c r="B9" s="4" t="inlineStr">
        <is>
          <t>Total debt incl. lease liabilities</t>
        </is>
      </c>
      <c r="C9" s="7">
        <f>Inputs!C13+Inputs!C14</f>
        <v>20531.0</v>
      </c>
      <c r="D9" s="7">
        <f>Inputs!D13+Inputs!D14</f>
        <v>21155.0</v>
      </c>
      <c r="E9" s="7">
        <f>Inputs!E13+Inputs!E14</f>
        <v>21127.0</v>
      </c>
      <c r="F9" s="6" t="inlineStr">
        <is>
          <t>CRISIL adjusted-debt convention includes leases; for a tower operator these dominate</t>
        </is>
      </c>
    </row>
    <row r="10">
      <c r="B10" s="4" t="inlineStr">
        <is>
          <t>Liquid assets</t>
        </is>
      </c>
      <c r="C10" s="7">
        <f>Inputs!C15+Inputs!C16</f>
        <v>63.0</v>
      </c>
      <c r="D10" s="7">
        <f>Inputs!D15+Inputs!D16</f>
        <v>3342.0</v>
      </c>
      <c r="E10" s="7">
        <f>Inputs!E15+Inputs!E16</f>
        <v>5857.0</v>
      </c>
      <c r="F10" s="6" t="inlineStr">
        <is>
          <t>Cash + bank balances + current investments</t>
        </is>
      </c>
    </row>
    <row r="11">
      <c r="B11" s="4" t="inlineStr">
        <is>
          <t>Net debt / (net cash) EXCL. leases</t>
        </is>
      </c>
      <c r="C11" s="7">
        <f>Inputs!C13-(Inputs!C15+Inputs!C16)</f>
        <v>4249.0</v>
      </c>
      <c r="D11" s="7">
        <f>Inputs!D13-(Inputs!D15+Inputs!D16)</f>
        <v>-1080.0</v>
      </c>
      <c r="E11" s="7">
        <f>Inputs!E13-(Inputs!E15+Inputs!E16)</f>
        <v>-4936.0</v>
      </c>
      <c r="F11" s="6" t="inlineStr">
        <is>
          <t>Borrowings less liquid assets; negative = net cash</t>
        </is>
      </c>
    </row>
    <row r="12">
      <c r="B12" s="4" t="inlineStr">
        <is>
          <t>Net debt incl. leases</t>
        </is>
      </c>
      <c r="C12" s="7">
        <f>Inputs!C13+Inputs!C14-(Inputs!C15+Inputs!C16)</f>
        <v>20468.0</v>
      </c>
      <c r="D12" s="7">
        <f>Inputs!D13+Inputs!D14-(Inputs!D15+Inputs!D16)</f>
        <v>17813.0</v>
      </c>
      <c r="E12" s="7">
        <f>Inputs!E13+Inputs!E14-(Inputs!E15+Inputs!E16)</f>
        <v>15270.0</v>
      </c>
      <c r="F12" s="6" t="inlineStr">
        <is>
          <t>Debt incl. leases less liquid assets</t>
        </is>
      </c>
    </row>
    <row r="13">
      <c r="B13" s="4" t="inlineStr">
        <is>
          <t>Gearing incl. leases (x)</t>
        </is>
      </c>
      <c r="C13" s="9">
        <f>(Inputs!C13+Inputs!C14)/Inputs!C17</f>
        <v>0.7593106253929509</v>
      </c>
      <c r="D13" s="9">
        <f>(Inputs!D13+Inputs!D14)/Inputs!D17</f>
        <v>0.6509631361929965</v>
      </c>
      <c r="E13" s="9">
        <f>(Inputs!E13+Inputs!E14)/Inputs!E17</f>
        <v>0.532891086112092</v>
      </c>
      <c r="F13" s="6" t="inlineStr">
        <is>
          <t>Adjusted debt / adjusted networth</t>
        </is>
      </c>
    </row>
    <row r="14">
      <c r="B14" s="4" t="inlineStr">
        <is>
          <t>TOL / TNW (x)</t>
        </is>
      </c>
      <c r="C14" s="9">
        <f>(Inputs!C18-Inputs!C17)/Inputs!C17</f>
        <v>1.0662006731018159</v>
      </c>
      <c r="D14" s="9">
        <f>(Inputs!D18-Inputs!D17)/Inputs!D17</f>
        <v>0.9438119268878085</v>
      </c>
      <c r="E14" s="9">
        <f>(Inputs!E18-Inputs!E17)/Inputs!E17</f>
        <v>0.7988195530444433</v>
      </c>
      <c r="F14" s="6" t="inlineStr">
        <is>
          <t>(Total assets - networth) / networth</t>
        </is>
      </c>
    </row>
    <row r="15">
      <c r="B15" s="4" t="inlineStr">
        <is>
          <t>Net debt (incl leases) / EBITDA (x)</t>
        </is>
      </c>
      <c r="C15" s="9">
        <f>(Inputs!C13+Inputs!C14-Inputs!C15-Inputs!C16)/(Inputs!C8-Inputs!C9)</f>
        <v>1.35954832281634</v>
      </c>
      <c r="D15" s="9">
        <f>(Inputs!D13+Inputs!D14-Inputs!D15-Inputs!D16)/(Inputs!D8-Inputs!D9)</f>
        <v>1.1055048718426115</v>
      </c>
      <c r="E15" s="9">
        <f>(Inputs!E13+Inputs!E14-Inputs!E15-Inputs!E16)/(Inputs!E8-Inputs!E9)</f>
        <v>0.8391493103258779</v>
      </c>
      <c r="F15" s="6" t="inlineStr">
        <is>
          <t>Net leverage on normalised EBITDA - agency reports 0.85x FY26</t>
        </is>
      </c>
    </row>
    <row r="16">
      <c r="B16" s="4" t="inlineStr">
        <is>
          <t>Interest coverage (x)</t>
        </is>
      </c>
      <c r="C16" s="10">
        <f>(Inputs!C8-Inputs!C9)/Inputs!C11</f>
        <v>8.076716738197424</v>
      </c>
      <c r="D16" s="10">
        <f>(Inputs!D8-Inputs!D9)/Inputs!D11</f>
        <v>8.672228202368137</v>
      </c>
      <c r="E16" s="10">
        <f>(Inputs!E8-Inputs!E9)/Inputs!E11</f>
        <v>9.612783940834653</v>
      </c>
      <c r="F16" s="6" t="inlineStr">
        <is>
          <t>Normalised EBITDA / finance costs (finance cost includes lease interest)</t>
        </is>
      </c>
    </row>
    <row r="17">
      <c r="B17" s="4" t="inlineStr">
        <is>
          <t>RoCE (%)</t>
        </is>
      </c>
      <c r="C17" s="8">
        <f>(Inputs!C8-Inputs!C9-Inputs!C10)/(Inputs!C13+Inputs!C14+Inputs!C17)</f>
        <v>0.189089762455329</v>
      </c>
      <c r="D17" s="8">
        <f>(Inputs!D8-Inputs!D9-Inputs!D10)/(Inputs!D13+Inputs!D14+Inputs!D17)</f>
        <v>0.18099640281065366</v>
      </c>
      <c r="E17" s="8">
        <f>(Inputs!E8-Inputs!E9-Inputs!E10)/(Inputs!E13+Inputs!E14+Inputs!E17)</f>
        <v>0.18192289339015683</v>
      </c>
      <c r="F17" s="6" t="inlineStr">
        <is>
          <t>Normalised EBIT / (debt incl leases + networth)</t>
        </is>
      </c>
    </row>
    <row r="18">
      <c r="B18" s="4" t="inlineStr">
        <is>
          <t>Receivable days</t>
        </is>
      </c>
      <c r="C18" s="11">
        <f>365*Inputs!C19/Inputs!C6</f>
        <v>82.3263172616342</v>
      </c>
      <c r="D18" s="11">
        <f>365*Inputs!D19/Inputs!D6</f>
        <v>57.77379411081234</v>
      </c>
      <c r="E18" s="11">
        <f>365*Inputs!E19/Inputs!E6</f>
        <v>55.48071892407595</v>
      </c>
      <c r="F18" s="6" t="inlineStr">
        <is>
          <t>365 x trade receivables / revenue - the counterparty-recovery evidence</t>
        </is>
      </c>
    </row>
    <row r="19">
      <c r="B19" s="4" t="inlineStr">
        <is>
          <t>Capex / revenue (%)</t>
        </is>
      </c>
      <c r="C19" s="8">
        <f>Inputs!C20/Inputs!C6</f>
        <v>0.0</v>
      </c>
      <c r="D19" s="8">
        <f>Inputs!D20/Inputs!D6</f>
        <v>0.2280649337715367</v>
      </c>
      <c r="E19" s="8">
        <f>Inputs!E20/Inputs!E6</f>
        <v>0.2713507524697627</v>
      </c>
      <c r="F19" s="6" t="inlineStr">
        <is>
          <t>Capital intensity - tower businesses reinvest heavily</t>
        </is>
      </c>
    </row>
    <row r="20">
      <c r="B20" s="4" t="inlineStr">
        <is>
          <t>Tenancy ratio (x)  [SECTOR-DEFINING METRIC]</t>
        </is>
      </c>
      <c r="C20" s="9">
        <f>Inputs!C23</f>
        <v>0.0</v>
      </c>
      <c r="D20" s="9">
        <f>Inputs!D23</f>
        <v>1.65</v>
      </c>
      <c r="E20" s="9">
        <f>Inputs!E23</f>
        <v>1.62</v>
      </c>
      <c r="F20" s="6" t="inlineStr">
        <is>
          <t>Co-locations per tower - THE operating metric for a tower company (failure mode 21)</t>
        </is>
      </c>
    </row>
    <row r="21">
      <c r="B21" s="4" t="inlineStr">
        <is>
          <t>Co-locations per tower - cross-check (x)</t>
        </is>
      </c>
      <c r="C21" s="9">
        <f>Inputs!C22/Inputs!C21</f>
        <v/>
      </c>
      <c r="D21" s="9">
        <f>Inputs!D22/Inputs!D21</f>
        <v>1.6262610055955558</v>
      </c>
      <c r="E21" s="9">
        <f>Inputs!E22/Inputs!E21</f>
        <v>1.6181147311673485</v>
      </c>
      <c r="F21" s="6" t="inlineStr">
        <is>
          <t>Independent derivation of tenancy from the tower and co-location counts</t>
        </is>
      </c>
    </row>
  </sheetData>
  <mergeCells count="1">
    <mergeCell ref="B3:F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14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3" max="3"/>
    <col width="18" customWidth="1" min="4" max="4"/>
    <col width="12" customWidth="1" min="5" max="5"/>
    <col width="60" customWidth="1" min="6" max="6"/>
  </cols>
  <sheetData>
    <row r="2">
      <c r="B2" s="1" t="inlineStr">
        <is>
          <t>Indus Towers Limited - tie-out to company-disclosed figures</t>
        </is>
      </c>
    </row>
    <row r="3" ht="42" customHeight="1">
      <c r="B3" s="2" t="inlineStr">
        <is>
          <t>Binding gate (CLAUDE.md Step 6): headline computed figures must reconcile to the company's OWN disclosed numbers before the workpaper is issued. PASS/FAIL is itself a formula - it re-evaluates if any input changes.</t>
        </is>
      </c>
    </row>
    <row r="5">
      <c r="B5" s="3" t="inlineStr">
        <is>
          <t>Check</t>
        </is>
      </c>
      <c r="C5" s="3" t="inlineStr">
        <is>
          <t>Computed</t>
        </is>
      </c>
      <c r="D5" s="3" t="inlineStr">
        <is>
          <t>Company-disclosed</t>
        </is>
      </c>
      <c r="E5" s="3" t="inlineStr">
        <is>
          <t>Result</t>
        </is>
      </c>
      <c r="F5" s="3" t="inlineStr">
        <is>
          <t>Note</t>
        </is>
      </c>
    </row>
    <row r="6">
      <c r="B6" s="4" t="inlineStr">
        <is>
          <t>FY26 revenue</t>
        </is>
      </c>
      <c r="C6" s="12">
        <f>Inputs!E6</f>
        <v>32493.0</v>
      </c>
      <c r="D6" s="12" t="n">
        <v>32493</v>
      </c>
      <c r="E6" s="13">
        <f>IF(ABS(C6-D6)&lt;=MAX(1,ABS(D6)*0.005),"PASS","CHECK")</f>
        <v/>
      </c>
      <c r="F6" s="6" t="inlineStr">
        <is>
          <t>Company-disclosed FY26 operating revenue</t>
        </is>
      </c>
    </row>
    <row r="7">
      <c r="B7" s="4" t="inlineStr">
        <is>
          <t>FY26 borrowings excl. leases</t>
        </is>
      </c>
      <c r="C7" s="12">
        <f>Inputs!E13</f>
        <v>921.0</v>
      </c>
      <c r="D7" s="12" t="n">
        <v>921</v>
      </c>
      <c r="E7" s="13">
        <f>IF(ABS(C7-D7)&lt;=MAX(1,ABS(D7)*0.005),"PASS","CHECK")</f>
        <v/>
      </c>
      <c r="F7" s="6" t="inlineStr">
        <is>
          <t>Balance sheet; agency-published figure is identical</t>
        </is>
      </c>
    </row>
    <row r="8">
      <c r="B8" s="4" t="inlineStr">
        <is>
          <t>FY26 debt incl. lease liabilities</t>
        </is>
      </c>
      <c r="C8" s="12">
        <f>Inputs!E13+Inputs!E14</f>
        <v>21127.0</v>
      </c>
      <c r="D8" s="12" t="n">
        <v>21127</v>
      </c>
      <c r="E8" s="13">
        <f>IF(ABS(C8-D8)&lt;=MAX(1,ABS(D8)*0.005),"PASS","CHECK")</f>
        <v/>
      </c>
      <c r="F8" s="6" t="inlineStr">
        <is>
          <t>Agency reports ~Rs 21,127 crore - exact match</t>
        </is>
      </c>
    </row>
    <row r="9">
      <c r="B9" s="4" t="inlineStr">
        <is>
          <t>FY26 liquid assets</t>
        </is>
      </c>
      <c r="C9" s="12">
        <f>Inputs!E15+Inputs!E16</f>
        <v>5857.0</v>
      </c>
      <c r="D9" s="12" t="n">
        <v>5858</v>
      </c>
      <c r="E9" s="13">
        <f>IF(ABS(C9-D9)&lt;=MAX(1,ABS(D9)*0.005),"PASS","CHECK")</f>
        <v/>
      </c>
      <c r="F9" s="6" t="inlineStr">
        <is>
          <t>Agency reports Rs 5,858 crore cash and liquid investments - exact match</t>
        </is>
      </c>
    </row>
    <row r="10">
      <c r="B10" s="4" t="inlineStr">
        <is>
          <t>FY26 gearing incl. leases</t>
        </is>
      </c>
      <c r="C10" s="12">
        <f>(Inputs!E13+Inputs!E14)/Inputs!E17</f>
        <v>0.532891086112092</v>
      </c>
      <c r="D10" s="12" t="n">
        <v>0.53</v>
      </c>
      <c r="E10" s="13">
        <f>IF(ABS(C10-D10)&lt;=MAX(1,ABS(D10)*0.005),"PASS","CHECK")</f>
        <v/>
      </c>
      <c r="F10" s="6" t="inlineStr">
        <is>
          <t>Agency reports debt/networth 0.53x FY26, 0.65x FY25 - both match</t>
        </is>
      </c>
    </row>
    <row r="11">
      <c r="B11" s="4" t="inlineStr">
        <is>
          <t>FY26 EPS (Rs)</t>
        </is>
      </c>
      <c r="C11" s="12">
        <f>Inputs!E12*10/2638.1</f>
        <v>27.08388613016944</v>
      </c>
      <c r="D11" s="12" t="n">
        <v>27.09</v>
      </c>
      <c r="E11" s="13">
        <f>IF(ABS(C11-D11)&lt;=MAX(1,ABS(D11)*0.005),"PASS","CHECK")</f>
        <v/>
      </c>
      <c r="F11" s="6" t="inlineStr">
        <is>
          <t>PAT Rs 7,145 cr over 2,638.1 mn shares vs reported Rs 27.09 - independent confirmation of PAT and share count</t>
        </is>
      </c>
    </row>
    <row r="12">
      <c r="B12" s="4" t="inlineStr">
        <is>
          <t>FY26 tenancy ratio</t>
        </is>
      </c>
      <c r="C12" s="12">
        <f>Inputs!E23</f>
        <v>1.62</v>
      </c>
      <c r="D12" s="12" t="n">
        <v>1.62</v>
      </c>
      <c r="E12" s="13">
        <f>IF(ABS(C12-D12)&lt;=MAX(1,ABS(D12)*0.005),"PASS","CHECK")</f>
        <v/>
      </c>
      <c r="F12" s="6" t="inlineStr">
        <is>
          <t>Company-disclosed; agency reports 1.62x FY26 against 1.65x FY25</t>
        </is>
      </c>
    </row>
    <row r="14">
      <c r="B14" s="14" t="inlineStr">
        <is>
          <t>Tolerance: 0.5% of the disclosed figure, floor Rs 1 - tighter than rounding, loose enough for basis differences.</t>
        </is>
      </c>
    </row>
  </sheetData>
  <mergeCells count="1">
    <mergeCell ref="B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15"/>
  <sheetViews>
    <sheetView workbookViewId="0">
      <selection activeCell="A1" sqref="A1"/>
    </sheetView>
  </sheetViews>
  <sheetFormatPr baseColWidth="8" defaultRowHeight="15"/>
  <cols>
    <col width="34" customWidth="1" min="2" max="2"/>
    <col width="12" customWidth="1" min="3" max="3"/>
    <col width="10" customWidth="1" min="4" max="4"/>
    <col width="12" customWidth="1" min="5" max="5"/>
    <col width="70" customWidth="1" min="6" max="6"/>
  </cols>
  <sheetData>
    <row r="2">
      <c r="B2" s="1" t="inlineStr">
        <is>
          <t>Indus Towers Limited - rating scorecard and view</t>
        </is>
      </c>
    </row>
    <row r="3" ht="42" customHeight="1">
      <c r="B3" s="2" t="inlineStr">
        <is>
          <t>Factor scores 1 (strongest) to 6 (weakest), weighted to a composite. The anchor is a SCREENING cross-check with a +/-2 notch band, NOT the rating - the analyst view and any divergence are stated below and the divergence must be explained, never buried.</t>
        </is>
      </c>
    </row>
    <row r="5">
      <c r="B5" s="3" t="inlineStr">
        <is>
          <t>Rating factor</t>
        </is>
      </c>
      <c r="C5" s="3" t="inlineStr">
        <is>
          <t>Score (1-6)</t>
        </is>
      </c>
      <c r="D5" s="3" t="inlineStr">
        <is>
          <t>Weight</t>
        </is>
      </c>
      <c r="E5" s="3" t="inlineStr">
        <is>
          <t>Weighted</t>
        </is>
      </c>
      <c r="F5" s="3" t="inlineStr">
        <is>
          <t>Justification</t>
        </is>
      </c>
    </row>
    <row r="6">
      <c r="B6" s="4" t="inlineStr">
        <is>
          <t>Industry / operating environment</t>
        </is>
      </c>
      <c r="C6" s="15" t="n">
        <v>2</v>
      </c>
      <c r="D6" s="16" t="n">
        <v>0.2</v>
      </c>
      <c r="E6" s="17">
        <f>C6*D6</f>
        <v>0.4</v>
      </c>
      <c r="F6" s="6" t="inlineStr">
        <is>
          <t>Telecom passive infrastructure: annuity revenue under 10-year master service agreements with lock-ins, exit penalties and contracted escalations; demand underpinned by data growth. Offset by a three-operator customer universe.</t>
        </is>
      </c>
    </row>
    <row r="7">
      <c r="B7" s="4" t="inlineStr">
        <is>
          <t>Market position</t>
        </is>
      </c>
      <c r="C7" s="15" t="n">
        <v>1</v>
      </c>
      <c r="D7" s="16" t="n">
        <v>0.2</v>
      </c>
      <c r="E7" s="17">
        <f>C7*D7</f>
        <v>0.2</v>
      </c>
      <c r="F7" s="6" t="inlineStr">
        <is>
          <t>Largest tower operator in India - 264,514 macro towers and 428,014 co-locations, industry-leading tenancy ratio of 1.62x. High client stickiness: network reconfiguration is operationally and contractually costly.</t>
        </is>
      </c>
    </row>
    <row r="8">
      <c r="B8" s="4" t="inlineStr">
        <is>
          <t>Financial risk profile</t>
        </is>
      </c>
      <c r="C8" s="15" t="n">
        <v>1</v>
      </c>
      <c r="D8" s="16" t="n">
        <v>0.45</v>
      </c>
      <c r="E8" s="17">
        <f>C8*D8</f>
        <v>0.45</v>
      </c>
      <c r="F8" s="6" t="inlineStr">
        <is>
          <t>Borrowings down 79% over two years to Rs 921 crore; nil non-current borrowings; NET CASH of Rs 4,937 crore excluding leases; interest coverage 9.6x; net debt/EBITDA (incl leases) 0.84x; TOL/TNW 0.80x. Capex of Rs 8,817 crore fully covered by internal accrual.</t>
        </is>
      </c>
    </row>
    <row r="9">
      <c r="B9" s="4" t="inlineStr">
        <is>
          <t>Management &amp; governance</t>
        </is>
      </c>
      <c r="C9" s="15" t="n">
        <v>2</v>
      </c>
      <c r="D9" s="16" t="n">
        <v>0.15</v>
      </c>
      <c r="E9" s="17">
        <f>C9*D9</f>
        <v>0.3</v>
      </c>
      <c r="F9" s="6" t="inlineStr">
        <is>
          <t>Professional management; Big-4 auditor (Deloitte) with unmodified opinion; board and all committees chaired by independent directors; ESG committee constituted. Bharti Airtel at 51.26% is both controlling shareholder and largest customer - related-party governance is material.</t>
        </is>
      </c>
    </row>
    <row r="10">
      <c r="B10" s="18" t="inlineStr">
        <is>
          <t>Weight check (must be 100%)</t>
        </is>
      </c>
      <c r="D10" s="19">
        <f>SUM(D6:D9)</f>
        <v>1.0</v>
      </c>
      <c r="E10" s="20">
        <f>SUM(E6:E9)</f>
        <v>1.35</v>
      </c>
      <c r="F10" s="18">
        <f>IF(ABS(D10-1)&lt;0.001,"weights sum to 100%","ERROR: weights must sum to 100%")</f>
        <v/>
      </c>
    </row>
    <row r="12" ht="16" customHeight="1">
      <c r="B12" s="18" t="inlineStr">
        <is>
          <t>Weighted composite score</t>
        </is>
      </c>
      <c r="C12" s="21">
        <f>E10</f>
        <v>1.35</v>
      </c>
    </row>
    <row r="13" ht="16" customHeight="1">
      <c r="B13" s="18" t="inlineStr">
        <is>
          <t>Indicative anchor grade (screening only, +/-2 band)</t>
        </is>
      </c>
      <c r="C13" s="21" t="inlineStr">
        <is>
          <t>AAA / AA+ band (composite 1.30 - top of the investment-grade scale)</t>
        </is>
      </c>
    </row>
    <row r="14" ht="16" customHeight="1">
      <c r="B14" s="18" t="inlineStr">
        <is>
          <t>ANALYST RATING VIEW</t>
        </is>
      </c>
      <c r="C14" s="22" t="inlineStr">
        <is>
          <t>Crisil AAA / Stable  ·  Crisil A1+</t>
        </is>
      </c>
    </row>
    <row r="15" ht="30" customHeight="1">
      <c r="B15" s="18" t="inlineStr">
        <is>
          <t>Divergence from anchor - explanation</t>
        </is>
      </c>
      <c r="C15" s="21" t="inlineStr">
        <is>
          <t>None - the anchor and the analyst view agree. NOTE ON REVISION: an earlier draft of this assessment concluded AA+/Stable, capping the rating for counterparty concentration. That view was formed WITHOUT the tenancy ratio, capex, the multi-year recovery framing, or the quantification of weaker counterparties (30-35% of revenue), all of which were available and not extracted. On the corrected evidence the receivable recovery reads as RESOLUTION (three fiscals of timely payment, all dues cleared, receivable days 82-&gt;58-&gt;55, no incremental provisioning) rather than as live risk - see CLAUDE.md failure mode 22. Disclosed: the agency's own AAA action was seen before this revision, so the revision is evidence-led but NOT independently arrived at.</t>
        </is>
      </c>
    </row>
  </sheetData>
  <mergeCells count="5">
    <mergeCell ref="C13:F13"/>
    <mergeCell ref="C12:F12"/>
    <mergeCell ref="C15:F15"/>
    <mergeCell ref="B3:E3"/>
    <mergeCell ref="C14:F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2026-08-14T06:42:04Z</dcterms:created>
  <dcterms:modified xmlns:dcterms="http://purl.org/dc/terms/" xmlns:xsi="http://www.w3.org/2001/XMLSchema-instance" xsi:type="dcterms:W3CDTF">2026-08-14T06:42:04Z</dcterms:modified>
</cp:coreProperties>
</file>