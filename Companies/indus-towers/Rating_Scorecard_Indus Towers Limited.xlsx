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Projections" sheetId="3" state="visible" r:id="rId3"/>
    <sheet xmlns:r="http://schemas.openxmlformats.org/officeDocument/2006/relationships" name="Ratios" sheetId="4" state="visible" r:id="rId4"/>
    <sheet xmlns:r="http://schemas.openxmlformats.org/officeDocument/2006/relationships" name="Scorecard" sheetId="5" state="visible" r:id="rId5"/>
    <sheet xmlns:r="http://schemas.openxmlformats.org/officeDocument/2006/relationships" name="Rating" sheetId="6" state="visible" r:id="rId6"/>
    <sheet xmlns:r="http://schemas.openxmlformats.org/officeDocument/2006/relationships" name="Ref_Scales" sheetId="7" state="visible" r:id="rId7"/>
    <sheet xmlns:r="http://schemas.openxmlformats.org/officeDocument/2006/relationships" name="Ref_Weights" sheetId="8" state="visible" r:id="rId8"/>
    <sheet xmlns:r="http://schemas.openxmlformats.org/officeDocument/2006/relationships" name="Ref_Bands" sheetId="9" state="visible" r:id="rId9"/>
    <sheet xmlns:r="http://schemas.openxmlformats.org/officeDocument/2006/relationships" name="Ref_Bands_Fin" sheetId="10" state="visible" r:id="rId10"/>
    <sheet xmlns:r="http://schemas.openxmlformats.org/officeDocument/2006/relationships" name="Ref_Qualitative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#,##0;(#,##0);&quot;-&quot;"/>
    <numFmt numFmtId="165" formatCode="0.0%;(0.0%);&quot;-&quot;"/>
    <numFmt numFmtId="166" formatCode="0.00x;(0.00x);&quot;-&quot;"/>
    <numFmt numFmtId="167" formatCode="0.0"/>
    <numFmt numFmtId="168" formatCode="0.0%"/>
  </numFmts>
  <fonts count="23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b val="1"/>
      <color rgb="001B2A4A"/>
      <sz val="11"/>
    </font>
    <font>
      <name val="Arial"/>
      <sz val="10"/>
    </font>
    <font>
      <name val="Arial"/>
      <i val="1"/>
      <color rgb="0068738A"/>
      <sz val="9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sz val="10"/>
    </font>
    <font>
      <name val="Arial"/>
      <color rgb="00008000"/>
      <sz val="10"/>
    </font>
    <font>
      <name val="Arial"/>
      <b val="1"/>
      <color rgb="001B2A4A"/>
      <sz val="16"/>
    </font>
    <font>
      <b val="1"/>
      <sz val="12"/>
    </font>
    <font>
      <b val="1"/>
    </font>
    <font>
      <b val="1"/>
      <color rgb="00FFFFFF"/>
    </font>
    <font>
      <b val="1"/>
      <color rgb="001B2A4A"/>
    </font>
    <font>
      <b val="1"/>
      <color rgb="00FFFFFF"/>
      <sz val="11"/>
    </font>
    <font>
      <b val="1"/>
      <color rgb="001B2A4A"/>
      <sz val="16"/>
    </font>
    <font>
      <b val="1"/>
      <color rgb="001B2A4A"/>
      <sz val="12"/>
    </font>
    <font>
      <i val="1"/>
      <color rgb="006B7891"/>
      <sz val="9"/>
    </font>
    <font>
      <sz val="10"/>
    </font>
    <font>
      <b val="1"/>
      <color rgb="001B2A4A"/>
      <sz val="10"/>
    </font>
    <font>
      <b val="1"/>
      <color rgb="009B2226"/>
      <sz val="10"/>
    </font>
    <font>
      <i val="1"/>
      <color rgb="00555555"/>
      <sz val="9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00"/>
      </patternFill>
    </fill>
    <fill>
      <patternFill patternType="solid">
        <fgColor rgb="00E2F3E6"/>
      </patternFill>
    </fill>
    <fill>
      <patternFill patternType="solid">
        <fgColor rgb="00FFF4E5"/>
      </patternFill>
    </fill>
    <fill>
      <patternFill patternType="solid">
        <fgColor rgb="000E7C7B"/>
      </patternFill>
    </fill>
  </fills>
  <borders count="6">
    <border>
      <left/>
      <right/>
      <top/>
      <bottom/>
      <diagonal/>
    </border>
    <border>
      <left style="thin">
        <color rgb="00B7C0CE"/>
      </left>
      <right style="thin">
        <color rgb="00B7C0CE"/>
      </right>
      <top style="thin">
        <color rgb="00B7C0CE"/>
      </top>
      <bottom style="thin">
        <color rgb="00B7C0CE"/>
      </bottom>
    </border>
    <border>
      <left/>
      <right/>
      <top style="thin">
        <color rgb="00B7C0CE"/>
      </top>
      <bottom/>
      <diagonal/>
    </border>
    <border>
      <left/>
      <right style="thin">
        <color rgb="00B7C0CE"/>
      </right>
      <top style="thin">
        <color rgb="00B7C0CE"/>
      </top>
      <bottom/>
      <diagonal/>
    </border>
    <border>
      <left/>
      <right/>
      <top style="thin">
        <color rgb="00B7C0CE"/>
      </top>
      <bottom style="thin">
        <color rgb="00B7C0CE"/>
      </bottom>
      <diagonal/>
    </border>
    <border>
      <left/>
      <right style="thin">
        <color rgb="00B7C0CE"/>
      </right>
      <top style="thin">
        <color rgb="00B7C0CE"/>
      </top>
      <bottom style="thin">
        <color rgb="00B7C0CE"/>
      </bottom>
      <diagonal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7" fillId="0" borderId="1" pivotButton="0" quotePrefix="0" xfId="0"/>
    <xf numFmtId="0" fontId="6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2" borderId="1" pivotButton="0" quotePrefix="0" xfId="0"/>
    <xf numFmtId="0" fontId="6" fillId="3" borderId="1" applyAlignment="1" pivotButton="0" quotePrefix="0" xfId="0">
      <alignment horizontal="center"/>
    </xf>
    <xf numFmtId="0" fontId="3" fillId="0" borderId="1" pivotButton="0" quotePrefix="0" xfId="0"/>
    <xf numFmtId="164" fontId="6" fillId="3" borderId="1" pivotButton="0" quotePrefix="0" xfId="0"/>
    <xf numFmtId="0" fontId="5" fillId="2" borderId="1" applyAlignment="1" pivotButton="0" quotePrefix="0" xfId="0">
      <alignment horizontal="center"/>
    </xf>
    <xf numFmtId="165" fontId="6" fillId="3" borderId="1" pivotButton="0" quotePrefix="0" xfId="0"/>
    <xf numFmtId="1" fontId="6" fillId="3" borderId="1" pivotButton="0" quotePrefix="0" xfId="0"/>
    <xf numFmtId="164" fontId="3" fillId="0" borderId="1" pivotButton="0" quotePrefix="0" xfId="0"/>
    <xf numFmtId="0" fontId="8" fillId="0" borderId="0" pivotButton="0" quotePrefix="0" xfId="0"/>
    <xf numFmtId="165" fontId="3" fillId="0" borderId="1" pivotButton="0" quotePrefix="0" xfId="0"/>
    <xf numFmtId="166" fontId="3" fillId="0" borderId="1" pivotButton="0" quotePrefix="0" xfId="0"/>
    <xf numFmtId="166" fontId="8" fillId="0" borderId="1" pivotButton="0" quotePrefix="0" xfId="0"/>
    <xf numFmtId="1" fontId="3" fillId="0" borderId="1" pivotButton="0" quotePrefix="0" xfId="0"/>
    <xf numFmtId="2" fontId="8" fillId="0" borderId="1" pivotButton="0" quotePrefix="0" xfId="0"/>
    <xf numFmtId="2" fontId="3" fillId="0" borderId="1" pivotButton="0" quotePrefix="0" xfId="0"/>
    <xf numFmtId="165" fontId="8" fillId="0" borderId="1" pivotButton="0" quotePrefix="0" xfId="0"/>
    <xf numFmtId="0" fontId="3" fillId="0" borderId="0" pivotButton="0" quotePrefix="0" xfId="0"/>
    <xf numFmtId="2" fontId="7" fillId="4" borderId="1" pivotButton="0" quotePrefix="0" xfId="0"/>
    <xf numFmtId="0" fontId="7" fillId="4" borderId="1" pivotButton="0" quotePrefix="0" xfId="0"/>
    <xf numFmtId="0" fontId="9" fillId="4" borderId="1" pivotButton="0" quotePrefix="0" xfId="0"/>
    <xf numFmtId="164" fontId="8" fillId="0" borderId="1" pivotButton="0" quotePrefix="0" xfId="0"/>
    <xf numFmtId="167" fontId="6" fillId="3" borderId="1" pivotButton="0" quotePrefix="0" xfId="0"/>
    <xf numFmtId="2" fontId="6" fillId="3" borderId="1" pivotButton="0" quotePrefix="0" xfId="0"/>
    <xf numFmtId="168" fontId="6" fillId="3" borderId="1" pivotButton="0" quotePrefix="0" xfId="0"/>
    <xf numFmtId="164" fontId="6" fillId="3" borderId="1" pivotButton="0" quotePrefix="0" xfId="0"/>
    <xf numFmtId="165" fontId="6" fillId="3" borderId="1" pivotButton="0" quotePrefix="0" xfId="0"/>
    <xf numFmtId="164" fontId="3" fillId="0" borderId="1" pivotButton="0" quotePrefix="0" xfId="0"/>
    <xf numFmtId="165" fontId="3" fillId="0" borderId="1" pivotButton="0" quotePrefix="0" xfId="0"/>
    <xf numFmtId="166" fontId="3" fillId="0" borderId="1" pivotButton="0" quotePrefix="0" xfId="0"/>
    <xf numFmtId="166" fontId="8" fillId="0" borderId="1" pivotButton="0" quotePrefix="0" xfId="0"/>
    <xf numFmtId="165" fontId="8" fillId="0" borderId="1" pivotButton="0" quotePrefix="0" xfId="0"/>
    <xf numFmtId="164" fontId="8" fillId="0" borderId="1" pivotButton="0" quotePrefix="0" xfId="0"/>
    <xf numFmtId="167" fontId="6" fillId="3" borderId="1" pivotButton="0" quotePrefix="0" xfId="0"/>
    <xf numFmtId="168" fontId="6" fillId="3" borderId="1" pivotButton="0" quotePrefix="0" xfId="0"/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0" fillId="0" borderId="0" pivotButton="0" quotePrefix="0" xfId="0"/>
    <xf numFmtId="0" fontId="11" fillId="0" borderId="0" applyAlignment="1" pivotButton="0" quotePrefix="0" xfId="0">
      <alignment vertical="top" wrapText="1"/>
    </xf>
    <xf numFmtId="0" fontId="12" fillId="2" borderId="0" pivotButton="0" quotePrefix="0" xfId="0"/>
    <xf numFmtId="0" fontId="13" fillId="0" borderId="0" pivotButton="0" quotePrefix="0" xfId="0"/>
    <xf numFmtId="0" fontId="0" fillId="5" borderId="0" pivotButton="0" quotePrefix="0" xfId="0"/>
    <xf numFmtId="0" fontId="14" fillId="6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3" fillId="0" borderId="1" pivotButton="0" quotePrefix="0" xfId="0"/>
    <xf numFmtId="0" fontId="17" fillId="0" borderId="1" applyAlignment="1" pivotButton="0" quotePrefix="0" xfId="0">
      <alignment vertical="top" wrapText="1"/>
    </xf>
    <xf numFmtId="0" fontId="14" fillId="2" borderId="1" pivotButton="0" quotePrefix="0" xfId="0"/>
    <xf numFmtId="0" fontId="17" fillId="0" borderId="0" pivotButton="0" quotePrefix="0" xfId="0"/>
    <xf numFmtId="0" fontId="17" fillId="0" borderId="0" applyAlignment="1" pivotButton="0" quotePrefix="0" xfId="0">
      <alignment vertical="top" wrapText="1"/>
    </xf>
    <xf numFmtId="0" fontId="17" fillId="4" borderId="1" pivotButton="0" quotePrefix="0" xfId="0"/>
    <xf numFmtId="0" fontId="14" fillId="2" borderId="0" pivotButton="0" quotePrefix="0" xfId="0"/>
    <xf numFmtId="0" fontId="5" fillId="2" borderId="1" applyAlignment="1" pivotButton="0" quotePrefix="0" xfId="0">
      <alignment vertical="top" wrapText="1"/>
    </xf>
    <xf numFmtId="164" fontId="8" fillId="0" borderId="1" applyAlignment="1" pivotButton="0" quotePrefix="0" xfId="0">
      <alignment vertical="top" wrapText="1"/>
    </xf>
    <xf numFmtId="164" fontId="13" fillId="0" borderId="1" pivotButton="0" quotePrefix="0" xfId="0"/>
    <xf numFmtId="0" fontId="14" fillId="6" borderId="1" pivotButton="0" quotePrefix="0" xfId="0"/>
    <xf numFmtId="166" fontId="8" fillId="0" borderId="1" applyAlignment="1" pivotButton="0" quotePrefix="0" xfId="0">
      <alignment vertical="top" wrapText="1"/>
    </xf>
    <xf numFmtId="0" fontId="16" fillId="5" borderId="0" applyAlignment="1" pivotButton="0" quotePrefix="0" xfId="0">
      <alignment vertical="top"/>
    </xf>
    <xf numFmtId="0" fontId="18" fillId="0" borderId="0" applyAlignment="1" pivotButton="0" quotePrefix="0" xfId="0">
      <alignment vertical="top"/>
    </xf>
    <xf numFmtId="0" fontId="19" fillId="0" borderId="0" pivotButton="0" quotePrefix="0" xfId="0"/>
    <xf numFmtId="0" fontId="20" fillId="0" borderId="0" pivotButton="0" quotePrefix="0" xfId="0"/>
    <xf numFmtId="0" fontId="21" fillId="0" borderId="0" applyAlignment="1" pivotButton="0" quotePrefix="0" xfId="0">
      <alignment vertical="top"/>
    </xf>
    <xf numFmtId="0" fontId="2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backtest</author>
  </authors>
  <commentList>
    <comment ref="C42" authorId="0" shapeId="0">
      <text>
        <t>Back-test: MUST be non-zero for PSU/sovereign or strong-parent strategic issuers - the neutral scorecard under-rates them by 2-3 notches otherwise.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9"/>
  <sheetViews>
    <sheetView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>
      <c r="B2" s="1" t="inlineStr">
        <is>
          <t>Credit Rating Scorecard - CRISIL</t>
        </is>
      </c>
    </row>
    <row r="4">
      <c r="B4" s="2" t="inlineStr">
        <is>
          <t>How to use</t>
        </is>
      </c>
    </row>
    <row r="5" ht="26" customHeight="1">
      <c r="B5" s="3" t="inlineStr">
        <is>
          <t>1. On the Inputs sheet, fill every YELLOW cell: issuer, agency, sector, three years of financials, projection assumptions and the qualitative scores.</t>
        </is>
      </c>
    </row>
    <row r="6" ht="26" customHeight="1">
      <c r="B6" s="3" t="inlineStr">
        <is>
          <t>2. The Projections sheet builds FY+1/FY+2 earnings (future earning potential) from your assumptions.</t>
        </is>
      </c>
    </row>
    <row r="7" ht="26" customHeight="1">
      <c r="B7" s="3" t="inlineStr">
        <is>
          <t>3. The Ratios sheet computes the ratio set for all five years, labelled in the selected agency's conventions (OPBDIT / EBITDA / PBILDT etc.).</t>
        </is>
      </c>
    </row>
    <row r="8" ht="26" customHeight="1">
      <c r="B8" s="3" t="inlineStr">
        <is>
          <t>4. The Scorecard sheet scores financial risk automatically from threshold bands (Ref_Bands), takes your qualitative scores for industry/business/management, and weights them by the SECTOR you picked (Ref_Weights).</t>
        </is>
      </c>
    </row>
    <row r="9" ht="26" customHeight="1">
      <c r="B9" s="3" t="inlineStr">
        <is>
          <t>5. The Rating sheet converts the weighted score to a grade on the selected AGENCY's scale, applies support notches and hard caps, maps the short-term rating, and prints the rating line in that agency's house style.</t>
        </is>
      </c>
    </row>
    <row r="10">
      <c r="B10" s="3" t="inlineStr"/>
    </row>
    <row r="11">
      <c r="B11" s="2" t="inlineStr">
        <is>
          <t>Legend</t>
        </is>
      </c>
    </row>
    <row r="12" ht="26" customHeight="1">
      <c r="B12" s="3" t="inlineStr">
        <is>
          <t>YELLOW fill + blue text = cells you edit.  Black = formulas (do not edit).  Green = links to another sheet.  An example issuer ('Example Manufacturing Ltd') is pre-filled to show the expected format - overwrite it with your issuer.</t>
        </is>
      </c>
    </row>
    <row r="13">
      <c r="B13" s="3" t="inlineStr"/>
    </row>
    <row r="14">
      <c r="B14" s="2" t="inlineStr">
        <is>
          <t>Scoring convention</t>
        </is>
      </c>
    </row>
    <row r="15" ht="26" customHeight="1">
      <c r="B15" s="3" t="inlineStr">
        <is>
          <t>All scores run 1 (strongest) to 6 (weakest), consistent with the credit-rating-tool scorecard. The composite maps onto the 17-notch AAA..C scale; D is assigned only on actual default, never by the scorecard.</t>
        </is>
      </c>
    </row>
    <row r="16">
      <c r="B16" s="3" t="inlineStr"/>
    </row>
    <row r="17">
      <c r="B17" s="2" t="inlineStr">
        <is>
          <t>Assumptions and sources</t>
        </is>
      </c>
    </row>
    <row r="18" ht="30" customHeight="1">
      <c r="B18" s="4" t="inlineStr">
        <is>
          <t>- Financial-risk threshold bands and metric weights: credit-rating-tool/scorecard.py (Downloads/Claude), ILLUSTRATIVE benchmark ranges in the style of CRISIL/CRISIL/CRISIL published criteria. Calibrate against the methodology files before relying on output (e.g. CRISIL FMCG indicative bands: TOL/TNW &lt;=0.9x strongest, Total debt/OPBDIT &lt;=0.5x strongest).</t>
        </is>
      </c>
    </row>
    <row r="19" ht="30" customHeight="1">
      <c r="B19" s="4" t="inlineStr">
        <is>
          <t>- Sector weights and industry base scores (Ref_Weights): analyst assumptions reflecting each agency's framework (CRISIL: industry risk sets the sector median; CRISIL blocks A-E; CRISIL industry/business/financial/management). Editable - they are inputs, not published constants.</t>
        </is>
      </c>
    </row>
    <row r="20" ht="30" customHeight="1">
      <c r="B20" s="4" t="inlineStr">
        <is>
          <t>Derived from an empirical corpus of published rationales and back-tested 18-Jul-2026 against 396 rated issuers. This is THIS PROJECT'S calibration and is NOT published by CRISIL.</t>
        </is>
      </c>
    </row>
    <row r="21" ht="30" customHeight="1">
      <c r="B21" s="4" t="inlineStr">
        <is>
          <t>Derived from an empirical corpus of published rationales and back-tested 18-Jul-2026 against 396 rated issuers. This is THIS PROJECT'S calibration and is NOT published by CRISIL.</t>
        </is>
      </c>
    </row>
    <row r="22">
      <c r="B22" s="3" t="inlineStr"/>
    </row>
    <row r="23">
      <c r="B23" s="2" t="inlineStr">
        <is>
          <t>Scope</t>
        </is>
      </c>
    </row>
    <row r="24" ht="26" customHeight="1">
      <c r="B24" s="3" t="inlineStr">
        <is>
          <t>Covers NON-FINANCIAL CORPORATES and FINANCIAL-SECTOR issuers (Banks / SFBs, NBFCs, HFCs). The framework switches automatically from the Sector you pick: a Corporate sector uses the EBITDA / gearing / coverage ratio set; a Bank/NBFC/HFC sector uses the financial-sector set (CRAR, GNPA, NNPA, RoA, NIM, cost-to-income) filled in the Financial-sector inputs block. Insurers are NOT covered (solvency-margin framework differs).</t>
        </is>
      </c>
    </row>
    <row r="25" ht="26" customHeight="1">
      <c r="B25" s="3" t="inlineStr">
        <is>
          <t>For a financial issuer: pick the Bank/NBFC/HFC sector, fill the Financial-sector inputs block on Inputs, and leave the corporate financials/projections at their example values (they are ignored). The Projections sheet and corporate Ratios apply to corporates only.</t>
        </is>
      </c>
    </row>
    <row r="26" ht="26" customHeight="1">
      <c r="B26" s="3" t="inlineStr">
        <is>
          <t>This is an analytical exercise tool; the output is an ANCHOR grade, not an agency rating. Qualitative judgment, peer comparison and the full methodology always override.</t>
        </is>
      </c>
    </row>
    <row r="27">
      <c r="B27" s="45" t="inlineStr">
        <is>
          <t>Support notches - MANDATORY where support drives the rating (back-test finding, 18-Jul-2026)</t>
        </is>
      </c>
    </row>
    <row r="28">
      <c r="B28" s="46" t="inlineStr">
        <is>
          <t>The neutral scorecard structurally UNDER-rates support-driven names (PSU/sovereign-owned, strong-parent strategic subsidiaries) and OVER-rates governance/default-stressed names. Apply the parent/group/government notch on Inputs per the agency criteria BEFORE comparing to the analyst view: e.g. majority-government-owned strategic entity +2/+3; strong-parent strategic subsidiary +1/+2; weak parent / cash drain -1/-2. Leaving it at 0 for a support-driven issuer is the single commonest cause of a low anchor (JSW, IIFL).</t>
        </is>
      </c>
    </row>
    <row r="29">
      <c r="B29" s="46" t="inlineStr">
        <is>
          <t>Derived from an empirical corpus of published rationales and back-tested 18-Jul-2026 against 396 rated issuers. This is THIS PROJECT'S calibration and is NOT published by CRISIL.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9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5" customWidth="1" min="3" max="3"/>
    <col width="15" customWidth="1" min="4" max="4"/>
    <col width="15" customWidth="1" min="5" max="5"/>
    <col width="50" customWidth="1" min="6" max="6"/>
  </cols>
  <sheetData>
    <row r="2">
      <c r="B2" s="1" t="inlineStr">
        <is>
          <t>Inputs - fill every yellow cell</t>
        </is>
      </c>
    </row>
    <row r="4">
      <c r="B4" s="5" t="inlineStr">
        <is>
          <t>Issuer name</t>
        </is>
      </c>
      <c r="C4" s="6" t="inlineStr">
        <is>
          <t>Indus Towers Limited</t>
        </is>
      </c>
      <c r="D4" s="7" t="n"/>
      <c r="E4" s="8" t="n"/>
      <c r="F4" s="9" t="inlineStr">
        <is>
          <t>Example values pre-filled throughout - replace with your issuer's audited figures.</t>
        </is>
      </c>
    </row>
    <row r="5">
      <c r="B5" s="5" t="inlineStr">
        <is>
          <t>Rating agency</t>
        </is>
      </c>
      <c r="C5" s="6" t="inlineStr">
        <is>
          <t>CRISIL</t>
        </is>
      </c>
    </row>
    <row r="6">
      <c r="B6" s="5" t="inlineStr">
        <is>
          <t>Sector</t>
        </is>
      </c>
      <c r="C6" s="6" t="inlineStr">
        <is>
          <t>Telecom</t>
        </is>
      </c>
      <c r="D6" s="7" t="n"/>
      <c r="E6" s="8" t="n"/>
    </row>
    <row r="7">
      <c r="B7" s="5" t="inlineStr">
        <is>
          <t>Rating date</t>
        </is>
      </c>
      <c r="C7" s="6" t="inlineStr">
        <is>
          <t>13-Aug-2026</t>
        </is>
      </c>
    </row>
    <row r="10">
      <c r="B10" s="10" t="inlineStr">
        <is>
          <t>Historical financials (Rs crore, audited)</t>
        </is>
      </c>
    </row>
    <row r="11">
      <c r="B11" s="11" t="inlineStr">
        <is>
          <t>Line item</t>
        </is>
      </c>
      <c r="C11" s="12" t="inlineStr">
        <is>
          <t>FY2024</t>
        </is>
      </c>
      <c r="D11" s="12" t="inlineStr">
        <is>
          <t>FY2025</t>
        </is>
      </c>
      <c r="E11" s="12" t="inlineStr">
        <is>
          <t>FY2026</t>
        </is>
      </c>
    </row>
    <row r="12">
      <c r="B12" s="13" t="inlineStr">
        <is>
          <t>Total operating income</t>
        </is>
      </c>
      <c r="C12" s="35" t="n">
        <v>28600.6</v>
      </c>
      <c r="D12" s="35" t="n">
        <v>30122.8</v>
      </c>
      <c r="E12" s="35" t="n">
        <v>32493.1</v>
      </c>
    </row>
    <row r="13">
      <c r="B13" s="13" t="inlineStr">
        <is>
          <t>EBITDA (OPBDIT / PBILDT)</t>
        </is>
      </c>
      <c r="C13" s="35" t="n">
        <v>15055</v>
      </c>
      <c r="D13" s="35" t="n">
        <v>16113.4</v>
      </c>
      <c r="E13" s="35" t="n">
        <v>18196.6</v>
      </c>
    </row>
    <row r="14">
      <c r="B14" s="13" t="inlineStr">
        <is>
          <t>Depreciation &amp; amortisation</t>
        </is>
      </c>
      <c r="C14" s="35" t="n">
        <v>6059.9</v>
      </c>
      <c r="D14" s="35" t="n">
        <v>6402.1</v>
      </c>
      <c r="E14" s="35" t="n">
        <v>7140.8</v>
      </c>
    </row>
    <row r="15">
      <c r="B15" s="13" t="inlineStr">
        <is>
          <t>Interest expense</t>
        </is>
      </c>
      <c r="C15" s="35" t="n">
        <v>1863.8</v>
      </c>
      <c r="D15" s="35" t="n">
        <v>1857.9</v>
      </c>
      <c r="E15" s="35" t="n">
        <v>1893</v>
      </c>
    </row>
    <row r="16">
      <c r="B16" s="13" t="inlineStr">
        <is>
          <t>Profit after tax (PAT)</t>
        </is>
      </c>
      <c r="C16" s="35" t="n">
        <v>6036.2</v>
      </c>
      <c r="D16" s="35" t="n">
        <v>6098.24</v>
      </c>
      <c r="E16" s="35" t="n">
        <v>6954.33</v>
      </c>
    </row>
    <row r="17">
      <c r="B17" s="13" t="inlineStr">
        <is>
          <t>Total debt (incl. lease liabilities)</t>
        </is>
      </c>
      <c r="C17" s="35" t="n">
        <v>20531</v>
      </c>
      <c r="D17" s="35" t="n">
        <v>21155.8</v>
      </c>
      <c r="E17" s="35" t="n">
        <v>21126.9</v>
      </c>
    </row>
    <row r="18">
      <c r="B18" s="13" t="inlineStr">
        <is>
          <t>Cash &amp; liquid investments</t>
        </is>
      </c>
      <c r="C18" s="35" t="n">
        <v>63.1</v>
      </c>
      <c r="D18" s="35" t="n">
        <v>3342.2</v>
      </c>
      <c r="E18" s="35" t="n">
        <v>5857.5</v>
      </c>
    </row>
    <row r="19">
      <c r="B19" s="13" t="inlineStr">
        <is>
          <t>Tangible net worth</t>
        </is>
      </c>
      <c r="C19" s="35" t="n">
        <v>27038.8</v>
      </c>
      <c r="D19" s="35" t="n">
        <v>32498.3</v>
      </c>
      <c r="E19" s="35" t="n">
        <v>39645.6</v>
      </c>
    </row>
    <row r="20">
      <c r="B20" s="13" t="inlineStr">
        <is>
          <t>Total outside liabilities</t>
        </is>
      </c>
      <c r="C20" s="35" t="n">
        <v>28828.8</v>
      </c>
      <c r="D20" s="35" t="n">
        <v>30671.9</v>
      </c>
      <c r="E20" s="35" t="n">
        <v>31670.5</v>
      </c>
    </row>
    <row r="21">
      <c r="B21" s="13" t="inlineStr">
        <is>
          <t>Current assets</t>
        </is>
      </c>
      <c r="C21" s="35" t="n">
        <v>3500</v>
      </c>
      <c r="D21" s="35" t="n">
        <v>3800</v>
      </c>
      <c r="E21" s="35" t="n">
        <v>4200</v>
      </c>
    </row>
    <row r="22">
      <c r="B22" s="13" t="inlineStr">
        <is>
          <t>Current liabilities</t>
        </is>
      </c>
      <c r="C22" s="35" t="n">
        <v>2500</v>
      </c>
      <c r="D22" s="35" t="n">
        <v>2600</v>
      </c>
      <c r="E22" s="35" t="n">
        <v>2800</v>
      </c>
    </row>
    <row r="23">
      <c r="B23" s="13" t="inlineStr">
        <is>
          <t>Capital expenditure</t>
        </is>
      </c>
      <c r="C23" s="35" t="n">
        <v>8952.9</v>
      </c>
      <c r="D23" s="35" t="n">
        <v>6784</v>
      </c>
      <c r="E23" s="35" t="n">
        <v>8625.799999999999</v>
      </c>
    </row>
    <row r="24">
      <c r="B24" s="13" t="inlineStr">
        <is>
          <t>Dividends paid</t>
        </is>
      </c>
      <c r="C24" s="35" t="n">
        <v>0</v>
      </c>
      <c r="D24" s="35" t="n">
        <v>2640</v>
      </c>
      <c r="E24" s="35" t="n">
        <v>0</v>
      </c>
    </row>
    <row r="27">
      <c r="B27" s="10" t="inlineStr">
        <is>
          <t>Projection assumptions (future earning potential)</t>
        </is>
      </c>
    </row>
    <row r="28">
      <c r="B28" s="11" t="inlineStr">
        <is>
          <t>Assumption</t>
        </is>
      </c>
      <c r="C28" s="15" t="inlineStr">
        <is>
          <t>FY+1</t>
        </is>
      </c>
      <c r="D28" s="15" t="inlineStr">
        <is>
          <t>FY+2</t>
        </is>
      </c>
    </row>
    <row r="29">
      <c r="B29" s="13" t="inlineStr">
        <is>
          <t>Revenue growth (%)</t>
        </is>
      </c>
      <c r="C29" s="36" t="n">
        <v>0.0614</v>
      </c>
      <c r="D29" s="36" t="n">
        <v>0.0636</v>
      </c>
    </row>
    <row r="30">
      <c r="B30" s="13" t="inlineStr">
        <is>
          <t>EBITDA margin (%)</t>
        </is>
      </c>
      <c r="C30" s="36" t="n">
        <v>0.5600000000000001</v>
      </c>
      <c r="D30" s="36" t="n">
        <v>0.5649999999999999</v>
      </c>
    </row>
    <row r="31">
      <c r="B31" s="13" t="inlineStr">
        <is>
          <t>Capital expenditure (Rs crore)</t>
        </is>
      </c>
      <c r="C31" s="35" t="n">
        <v>8000</v>
      </c>
      <c r="D31" s="35" t="n">
        <v>7500</v>
      </c>
    </row>
    <row r="32">
      <c r="B32" s="13" t="inlineStr">
        <is>
          <t>Net new debt + / (repayment) (Rs crore)</t>
        </is>
      </c>
      <c r="C32" s="35" t="n">
        <v>0</v>
      </c>
      <c r="D32" s="35" t="n">
        <v>0</v>
      </c>
    </row>
    <row r="33">
      <c r="B33" s="13" t="inlineStr">
        <is>
          <t>Average interest rate on debt (%)</t>
        </is>
      </c>
      <c r="C33" s="36" t="n">
        <v>0.08500000000000001</v>
      </c>
      <c r="D33" s="36" t="n">
        <v>0.08500000000000001</v>
      </c>
    </row>
    <row r="34">
      <c r="B34" s="13" t="inlineStr">
        <is>
          <t>Tax rate (%)</t>
        </is>
      </c>
      <c r="C34" s="36" t="n">
        <v>0.256</v>
      </c>
      <c r="D34" s="36" t="n">
        <v>0.256</v>
      </c>
    </row>
    <row r="35">
      <c r="B35" s="13" t="inlineStr">
        <is>
          <t>Dividend payout (% of PAT)</t>
        </is>
      </c>
      <c r="C35" s="36" t="n">
        <v>0</v>
      </c>
      <c r="D35" s="36" t="n">
        <v>0</v>
      </c>
    </row>
    <row r="38">
      <c r="B38" s="10" t="inlineStr">
        <is>
          <t>Qualitative assessment (1 = strongest ... 6 = weakest)</t>
        </is>
      </c>
    </row>
    <row r="39">
      <c r="B39" s="13" t="inlineStr">
        <is>
          <t>Industry risk override (blank = use sector base from Ref_Weights)</t>
        </is>
      </c>
      <c r="C39" s="17" t="n"/>
      <c r="F39" s="9" t="inlineStr">
        <is>
          <t>Leave blank to accept the sector's base score; enter 1-6 to override.</t>
        </is>
      </c>
    </row>
    <row r="40">
      <c r="B40" s="13" t="inlineStr">
        <is>
          <t>Business risk / market position score</t>
        </is>
      </c>
      <c r="C40" s="17" t="n">
        <v>2</v>
      </c>
      <c r="F40" s="9" t="inlineStr">
        <is>
          <t>Market share, brand/distribution, diversification, pricing power vs peers.</t>
        </is>
      </c>
    </row>
    <row r="41">
      <c r="B41" s="13" t="inlineStr">
        <is>
          <t>Management &amp; governance score</t>
        </is>
      </c>
      <c r="C41" s="17" t="n">
        <v>2</v>
      </c>
      <c r="F41" s="9" t="inlineStr">
        <is>
          <t>Track record, financial policy/risk appetite, governance, group linkages.</t>
        </is>
      </c>
    </row>
    <row r="42">
      <c r="B42" s="13" t="inlineStr">
        <is>
          <t>Parent/group support notches (+ = uplift, - = drag)</t>
        </is>
      </c>
      <c r="C42" s="17" t="n">
        <v>0</v>
      </c>
      <c r="F42" s="9" t="inlineStr">
        <is>
          <t>Per the agency's parent/group notching criteria; usually 0 to +/-3.</t>
        </is>
      </c>
    </row>
    <row r="43">
      <c r="B43" s="13" t="inlineStr">
        <is>
          <t>Liquidity descriptor</t>
        </is>
      </c>
      <c r="C43" s="6" t="inlineStr">
        <is>
          <t>Superior</t>
        </is>
      </c>
      <c r="F43" s="9" t="inlineStr">
        <is>
          <t>Superior/Strong lifts ST mapping in overlap bands and improves the composite (Ref_Scales).</t>
        </is>
      </c>
    </row>
    <row r="44">
      <c r="B44" s="13" t="inlineStr">
        <is>
          <t>Outlook</t>
        </is>
      </c>
      <c r="C44" s="6" t="inlineStr">
        <is>
          <t>Stable</t>
        </is>
      </c>
    </row>
    <row r="47">
      <c r="B47" s="10" t="inlineStr">
        <is>
          <t>Financial-sector inputs - fill ONLY if Sector is Bank / NBFC / HFC</t>
        </is>
      </c>
      <c r="F47" s="9" t="inlineStr">
        <is>
          <t>For a financial issuer, leave the corporate financials/projections above at their example values (they are ignored) and fill these instead.</t>
        </is>
      </c>
    </row>
    <row r="48">
      <c r="B48" s="11" t="inlineStr">
        <is>
          <t>Metric</t>
        </is>
      </c>
      <c r="C48" s="15" t="inlineStr">
        <is>
          <t>Latest</t>
        </is>
      </c>
      <c r="D48" s="15" t="inlineStr">
        <is>
          <t>Expected FY+1</t>
        </is>
      </c>
    </row>
    <row r="49">
      <c r="B49" s="13" t="inlineStr">
        <is>
          <t>Capital adequacy - CRAR (%)</t>
        </is>
      </c>
      <c r="C49" s="36" t="n">
        <v>0.16</v>
      </c>
      <c r="D49" s="36" t="n">
        <v>0.158</v>
      </c>
    </row>
    <row r="50">
      <c r="B50" s="13" t="inlineStr">
        <is>
          <t>Gross NPA (%)</t>
        </is>
      </c>
      <c r="C50" s="36" t="n">
        <v>0.025</v>
      </c>
      <c r="D50" s="36" t="n">
        <v>0.022</v>
      </c>
    </row>
    <row r="51">
      <c r="B51" s="13" t="inlineStr">
        <is>
          <t>Net NPA (%)</t>
        </is>
      </c>
      <c r="C51" s="36" t="n">
        <v>0.006</v>
      </c>
      <c r="D51" s="36" t="n">
        <v>0.005</v>
      </c>
    </row>
    <row r="52">
      <c r="B52" s="13" t="inlineStr">
        <is>
          <t>Return on assets - RoA (%)</t>
        </is>
      </c>
      <c r="C52" s="36" t="n">
        <v>0.013</v>
      </c>
      <c r="D52" s="36" t="n">
        <v>0.014</v>
      </c>
    </row>
    <row r="53">
      <c r="B53" s="13" t="inlineStr">
        <is>
          <t>Net interest margin - NIM (%)</t>
        </is>
      </c>
      <c r="C53" s="36" t="n">
        <v>0.033</v>
      </c>
      <c r="D53" s="36" t="n">
        <v>0.033</v>
      </c>
    </row>
    <row r="54">
      <c r="B54" s="13" t="inlineStr">
        <is>
          <t>Cost-to-income (%)</t>
        </is>
      </c>
      <c r="C54" s="36" t="n">
        <v>0.46</v>
      </c>
      <c r="D54" s="36" t="n">
        <v>0.45</v>
      </c>
    </row>
    <row r="55">
      <c r="B55" s="13" t="inlineStr">
        <is>
          <t>Total assets / AUM (Rs crore)</t>
        </is>
      </c>
      <c r="C55" s="35" t="n">
        <v>500000</v>
      </c>
      <c r="D55" s="35" t="n">
        <v>545000</v>
      </c>
    </row>
    <row r="58">
      <c r="B58" s="49" t="inlineStr">
        <is>
          <t>COMMITTEE OVERLAY (Step 17c) - the bridge from the financial anchor to the ASSIGNED rating</t>
        </is>
      </c>
    </row>
    <row r="59">
      <c r="B59" s="50" t="inlineStr">
        <is>
          <t>Adjustment</t>
        </is>
      </c>
      <c r="C59" s="50" t="inlineStr">
        <is>
          <t>Notches (+ improves)</t>
        </is>
      </c>
      <c r="D59" s="50" t="inlineStr">
        <is>
          <t>Justification - REQUIRED whenever notches &lt;&gt; 0</t>
        </is>
      </c>
    </row>
    <row r="60">
      <c r="B60" t="inlineStr">
        <is>
          <t>Sector-metric applicability</t>
        </is>
      </c>
      <c r="C60" s="51" t="n">
        <v>0</v>
      </c>
      <c r="D60" s="51" t="inlineStr">
        <is>
          <t>No sector-metric adjustment.</t>
        </is>
      </c>
      <c r="F60" s="46" t="inlineStr">
        <is>
          <t>Where a scorecard metric is structurally distorted for this sector (e.g. accrual interest coverage for a project-completion real-estate developer), state it here.</t>
        </is>
      </c>
    </row>
    <row r="61">
      <c r="B61" t="inlineStr">
        <is>
          <t>Business / franchise strength beyond the financial composite</t>
        </is>
      </c>
      <c r="C61" s="51" t="n">
        <v>1</v>
      </c>
      <c r="D61" s="51" t="inlineStr">
        <is>
          <t>+1 for a genuinely RESOLVED counterparty-concentration risk, per failure mode 22's resolving-vs-live test: receivable days compressed 82 to 58 to 55 over three periods (sustained improvement, not a single-period blip), with the company's own disclosures supporting clearance of previously overdue amounts. The original draft capped the view on counterparty risk without applying this test - see the Correction Note; a subsidiary/counterparty outgrowing its risk overhang on strong standalone performance is an upgrade signal, not a neutral fact, and is recorded here as the reasoned basis for the uplift rather than left implicit.</t>
        </is>
      </c>
      <c r="F61" s="46" t="inlineStr">
        <is>
          <t>Market position, scale or diversification the financial ratios cannot see.</t>
        </is>
      </c>
    </row>
    <row r="62">
      <c r="B62" t="inlineStr">
        <is>
          <t>Parent / group support beyond the Step 12b notch</t>
        </is>
      </c>
      <c r="C62" s="51" t="n">
        <v>0</v>
      </c>
      <c r="D62" s="51" t="inlineStr">
        <is>
          <t>No incremental group-support notch beyond Step 12b.</t>
        </is>
      </c>
      <c r="F62" s="46" t="inlineStr">
        <is>
          <t>Only the INCREMENT over Inputs!C42, so support is never counted twice.</t>
        </is>
      </c>
    </row>
    <row r="63">
      <c r="B63" t="inlineStr">
        <is>
          <t>Peer benchmarking / calibration</t>
        </is>
      </c>
      <c r="C63" s="51" t="n">
        <v>0</v>
      </c>
      <c r="D63" s="51" t="inlineStr">
        <is>
          <t>No peer-benchmarking adjustment.</t>
        </is>
      </c>
      <c r="F63" s="46" t="inlineStr">
        <is>
          <t>Where the anchor sits against this agency's published grades for close peers.</t>
        </is>
      </c>
    </row>
    <row r="64">
      <c r="B64" t="inlineStr">
        <is>
          <t>Other (name it in the justification)</t>
        </is>
      </c>
      <c r="C64" s="51" t="n">
        <v>0</v>
      </c>
      <c r="D64" s="51" t="inlineStr">
        <is>
          <t>None.</t>
        </is>
      </c>
      <c r="F64" s="46" t="inlineStr">
        <is>
          <t>Anything else the Committee relied on. Unnamed adjustments are a defect.</t>
        </is>
      </c>
    </row>
    <row r="66">
      <c r="B66" t="inlineStr">
        <is>
          <t>Committee direct override - assigned index (blank = anchor + overlay)</t>
        </is>
      </c>
      <c r="C66" s="51" t="inlineStr"/>
      <c r="D66" s="51" t="inlineStr"/>
      <c r="F66" s="46" t="inlineStr">
        <is>
          <t>Use ONLY where the Committee sets the grade directly rather than by notching from the anchor. 0 = AAA ... 16 = C. A reason in D66 is required.</t>
        </is>
      </c>
    </row>
    <row r="67">
      <c r="B67" t="inlineStr">
        <is>
          <t>Hard caps apply? (Y / N)</t>
        </is>
      </c>
      <c r="C67" s="51" t="inlineStr">
        <is>
          <t>Y</t>
        </is>
      </c>
      <c r="D67" s="51" t="inlineStr"/>
      <c r="F67" s="46" t="inlineStr">
        <is>
          <t>'N' ONLY where a capped metric is structurally meaningless for this sector - e.g. accrual interest coverage for a project-completion real-estate developer, whose cash coverage is strong while its accrual coverage is negative by construction. A written reason in D67 is REQUIRED and the delivery gate reads it.</t>
        </is>
      </c>
    </row>
    <row r="68">
      <c r="B68" s="72" t="inlineStr">
        <is>
          <t>BUSINESS-RISK GATE (failure mode 53) - business risk BOUNDS the anchor; it is never averaged into it</t>
        </is>
      </c>
    </row>
    <row r="69">
      <c r="B69" t="inlineStr">
        <is>
          <t>Business-risk ceiling grade (blank = no ceiling)</t>
        </is>
      </c>
      <c r="C69" t="inlineStr"/>
      <c r="D69" t="inlineStr"/>
      <c r="F69" t="inlineStr">
        <is>
          <t>Enter the BEST grade this issuer can reach on its business risk alone (AAA..C), regardless of how strong the financial ratios are - e.g. a single-site, single-product issuer with no pricing power. A written reason in D69 is REQUIRED whenever the gate below reports YES, and the delivery gate reads it. Leaving it blank is a decision, not a default: say in D69 why no ceiling applies.</t>
        </is>
      </c>
    </row>
  </sheetData>
  <mergeCells count="2">
    <mergeCell ref="C4:E4"/>
    <mergeCell ref="C6:E6"/>
  </mergeCells>
  <dataValidations count="5">
    <dataValidation sqref="C5" showDropDown="0" showInputMessage="0" showErrorMessage="0" allowBlank="0" type="list">
      <formula1>"ICRA,CRISIL,CareEdge"</formula1>
    </dataValidation>
    <dataValidation sqref="C6" showDropDown="0" showInputMessage="0" showErrorMessage="0" allowBlank="0" type="list">
      <formula1>=Ref_Weights!$A$5:$A$26</formula1>
    </dataValidation>
    <dataValidation sqref="C43" showDropDown="0" showInputMessage="0" showErrorMessage="0" allowBlank="0" type="list">
      <formula1>=Ref_Scales!$E$5:$E$9</formula1>
    </dataValidation>
    <dataValidation sqref="C44" showDropDown="0" showInputMessage="0" showErrorMessage="0" allowBlank="0" type="list">
      <formula1>=Ref_Scales!$E$12:$E$15</formula1>
    </dataValidation>
    <dataValidation sqref="C39 C40 C41" showDropDown="0" showInputMessage="0" showErrorMessage="0" allowBlank="1" type="whole" operator="between">
      <formula1>1</formula1>
      <formula2>6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20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4" customWidth="1" min="3" max="3"/>
    <col width="14" customWidth="1" min="4" max="4"/>
    <col width="60" customWidth="1" min="6" max="6"/>
  </cols>
  <sheetData>
    <row r="2">
      <c r="B2" s="1" t="inlineStr">
        <is>
          <t>Projections - future earning potential (all formulas; edit assumptions on Inputs)</t>
        </is>
      </c>
    </row>
    <row r="4">
      <c r="B4" s="11" t="inlineStr">
        <is>
          <t>Rs crore</t>
        </is>
      </c>
      <c r="C4" s="15" t="inlineStr">
        <is>
          <t>FY+1</t>
        </is>
      </c>
      <c r="D4" s="15" t="inlineStr">
        <is>
          <t>FY+2</t>
        </is>
      </c>
    </row>
    <row r="5">
      <c r="B5" s="13" t="inlineStr">
        <is>
          <t>Revenue</t>
        </is>
      </c>
      <c r="C5" s="37">
        <f>Inputs!E12*(1+Inputs!C29)</f>
        <v/>
      </c>
      <c r="D5" s="37">
        <f>C5*(1+Inputs!D29)</f>
        <v/>
      </c>
    </row>
    <row r="6">
      <c r="B6" s="13" t="inlineStr">
        <is>
          <t>EBITDA</t>
        </is>
      </c>
      <c r="C6" s="37">
        <f>C5*Inputs!C30</f>
        <v/>
      </c>
      <c r="D6" s="37">
        <f>D5*Inputs!D30</f>
        <v/>
      </c>
    </row>
    <row r="7">
      <c r="B7" s="13" t="inlineStr">
        <is>
          <t>Depreciation</t>
        </is>
      </c>
      <c r="C7" s="37">
        <f>Inputs!E14</f>
        <v/>
      </c>
      <c r="D7" s="37">
        <f>C7</f>
        <v/>
      </c>
    </row>
    <row r="8">
      <c r="B8" s="13" t="inlineStr">
        <is>
          <t>EBIT</t>
        </is>
      </c>
      <c r="C8" s="37">
        <f>C6-C7</f>
        <v/>
      </c>
      <c r="D8" s="37">
        <f>D6-D7</f>
        <v/>
      </c>
    </row>
    <row r="9">
      <c r="B9" s="13" t="inlineStr">
        <is>
          <t>Total debt (closing)</t>
        </is>
      </c>
      <c r="C9" s="37">
        <f>Inputs!E17+Inputs!C32</f>
        <v/>
      </c>
      <c r="D9" s="37">
        <f>C9+Inputs!D32</f>
        <v/>
      </c>
    </row>
    <row r="10">
      <c r="B10" s="13" t="inlineStr">
        <is>
          <t>Interest expense</t>
        </is>
      </c>
      <c r="C10" s="37">
        <f>AVERAGE(Inputs!E17,C9)*Inputs!C33</f>
        <v/>
      </c>
      <c r="D10" s="37">
        <f>AVERAGE(C9,D9)*Inputs!D33</f>
        <v/>
      </c>
    </row>
    <row r="11">
      <c r="B11" s="13" t="inlineStr">
        <is>
          <t>Profit before tax</t>
        </is>
      </c>
      <c r="C11" s="37">
        <f>C8-C10</f>
        <v/>
      </c>
      <c r="D11" s="37">
        <f>D8-D10</f>
        <v/>
      </c>
    </row>
    <row r="12">
      <c r="B12" s="13" t="inlineStr">
        <is>
          <t>Tax</t>
        </is>
      </c>
      <c r="C12" s="37">
        <f>MAX(C11,0)*Inputs!C34</f>
        <v/>
      </c>
      <c r="D12" s="37">
        <f>MAX(D11,0)*Inputs!D34</f>
        <v/>
      </c>
    </row>
    <row r="13">
      <c r="B13" s="13" t="inlineStr">
        <is>
          <t>PAT</t>
        </is>
      </c>
      <c r="C13" s="37">
        <f>C11-C12</f>
        <v/>
      </c>
      <c r="D13" s="37">
        <f>D11-D12</f>
        <v/>
      </c>
    </row>
    <row r="14">
      <c r="B14" s="13" t="inlineStr">
        <is>
          <t>Gross cash accruals (PAT + Dep)</t>
        </is>
      </c>
      <c r="C14" s="37">
        <f>C13+C7</f>
        <v/>
      </c>
      <c r="D14" s="37">
        <f>D13+D7</f>
        <v/>
      </c>
    </row>
    <row r="15">
      <c r="B15" s="13" t="inlineStr">
        <is>
          <t>Dividends</t>
        </is>
      </c>
      <c r="C15" s="37">
        <f>C13*Inputs!C35</f>
        <v/>
      </c>
      <c r="D15" s="37">
        <f>D13*Inputs!D35</f>
        <v/>
      </c>
    </row>
    <row r="16">
      <c r="B16" s="13" t="inlineStr">
        <is>
          <t>Tangible net worth (closing)</t>
        </is>
      </c>
      <c r="C16" s="37">
        <f>Inputs!E19+C13-C15</f>
        <v/>
      </c>
      <c r="D16" s="37">
        <f>C16+D13-D15</f>
        <v/>
      </c>
    </row>
    <row r="17">
      <c r="B17" s="13" t="inlineStr">
        <is>
          <t>Cash &amp; liquid investments (closing)</t>
        </is>
      </c>
      <c r="C17" s="37">
        <f>Inputs!E18+C14-Inputs!C31-C15+Inputs!C32</f>
        <v/>
      </c>
      <c r="D17" s="37">
        <f>C17+D14-Inputs!D31-D15+Inputs!D32</f>
        <v/>
      </c>
    </row>
    <row r="18">
      <c r="B18" s="13" t="inlineStr">
        <is>
          <t>Free cash flow (GCA - capex - dividends)</t>
        </is>
      </c>
      <c r="C18" s="37">
        <f>C14-Inputs!C31-C15</f>
        <v/>
      </c>
      <c r="D18" s="37">
        <f>D14-Inputs!D31-D15</f>
        <v/>
      </c>
    </row>
    <row r="20">
      <c r="B20" s="9" t="inlineStr">
        <is>
          <t>Interest on average of opening/closing debt. Depreciation held at FY0 level (conservative for flat capex). No equity raising assumed - an unraised issue is not a committed source of funds.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19"/>
  <sheetViews>
    <sheetView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2">
      <c r="B2" s="1" t="inlineStr">
        <is>
          <t>Ratios - five years, in the selected agency's conventions</t>
        </is>
      </c>
    </row>
    <row r="3">
      <c r="B3" s="19">
        <f>"Agency: "&amp;Inputs!C5&amp;"   |   EBITDA is labelled "&amp;INDEX(Ref_Scales!I5:I7,MATCH(Inputs!C5,Ref_Scales!H5:H7,0))&amp;" by this agency"</f>
        <v/>
      </c>
    </row>
    <row r="5">
      <c r="B5" s="11" t="inlineStr">
        <is>
          <t>Ratio</t>
        </is>
      </c>
      <c r="C5" s="15">
        <f>Inputs!C11</f>
        <v/>
      </c>
      <c r="D5" s="15">
        <f>Inputs!D11</f>
        <v/>
      </c>
      <c r="E5" s="15">
        <f>Inputs!E11</f>
        <v/>
      </c>
      <c r="F5" s="15" t="inlineStr">
        <is>
          <t>FY+1 (P)</t>
        </is>
      </c>
      <c r="G5" s="15" t="inlineStr">
        <is>
          <t>FY+2 (P)</t>
        </is>
      </c>
    </row>
    <row r="6">
      <c r="B6" s="13" t="inlineStr">
        <is>
          <t>Revenue growth (%)</t>
        </is>
      </c>
      <c r="C6" s="38" t="inlineStr">
        <is>
          <t>n.a.</t>
        </is>
      </c>
      <c r="D6" s="38">
        <f>Inputs!D12/Inputs!C12-1</f>
        <v/>
      </c>
      <c r="E6" s="38">
        <f>Inputs!E12/Inputs!D12-1</f>
        <v/>
      </c>
      <c r="F6" s="38">
        <f>Projections!C5/Inputs!E12-1</f>
        <v/>
      </c>
      <c r="G6" s="38">
        <f>Projections!D5/Projections!C5-1</f>
        <v/>
      </c>
    </row>
    <row r="7">
      <c r="B7" s="13">
        <f>INDEX(Ref_Scales!I5:I7,MATCH(Inputs!C5,Ref_Scales!H5:H7,0))&amp;" margin (%)"</f>
        <v/>
      </c>
      <c r="C7" s="38">
        <f>Inputs!C13/Inputs!C12</f>
        <v/>
      </c>
      <c r="D7" s="38">
        <f>Inputs!D13/Inputs!D12</f>
        <v/>
      </c>
      <c r="E7" s="38">
        <f>Inputs!E13/Inputs!E12</f>
        <v/>
      </c>
      <c r="F7" s="38">
        <f>Projections!C6/Projections!C5</f>
        <v/>
      </c>
      <c r="G7" s="38">
        <f>Projections!D6/Projections!D5</f>
        <v/>
      </c>
    </row>
    <row r="8">
      <c r="B8" s="13" t="inlineStr">
        <is>
          <t>PAT margin (%)</t>
        </is>
      </c>
      <c r="C8" s="38">
        <f>Inputs!C16/Inputs!C12</f>
        <v/>
      </c>
      <c r="D8" s="38">
        <f>Inputs!D16/Inputs!D12</f>
        <v/>
      </c>
      <c r="E8" s="38">
        <f>Inputs!E16/Inputs!E12</f>
        <v/>
      </c>
      <c r="F8" s="38">
        <f>Projections!C13/Projections!C5</f>
        <v/>
      </c>
      <c r="G8" s="38">
        <f>Projections!D13/Projections!D5</f>
        <v/>
      </c>
    </row>
    <row r="9">
      <c r="B9" s="13" t="inlineStr">
        <is>
          <t>ROCE (EBIT / (TD + TNW)) (%)</t>
        </is>
      </c>
      <c r="C9" s="38">
        <f>(Inputs!C13-Inputs!C14)/(Inputs!C17+Inputs!C19)</f>
        <v/>
      </c>
      <c r="D9" s="38">
        <f>(Inputs!D13-Inputs!D14)/(Inputs!D17+Inputs!D19)</f>
        <v/>
      </c>
      <c r="E9" s="38">
        <f>(Inputs!E13-Inputs!E14)/(Inputs!E17+Inputs!E19)</f>
        <v/>
      </c>
      <c r="F9" s="38">
        <f>Projections!C8/(Projections!C9+Projections!C16)</f>
        <v/>
      </c>
      <c r="G9" s="38">
        <f>Projections!D8/(Projections!D9+Projections!D16)</f>
        <v/>
      </c>
    </row>
    <row r="10">
      <c r="B10" s="13">
        <f>"Gearing / overall gearing - Total debt/TNW (x)"</f>
        <v/>
      </c>
      <c r="C10" s="39">
        <f>Inputs!C17/Inputs!C19</f>
        <v/>
      </c>
      <c r="D10" s="39">
        <f>Inputs!D17/Inputs!D19</f>
        <v/>
      </c>
      <c r="E10" s="39">
        <f>Inputs!E17/Inputs!E19</f>
        <v/>
      </c>
      <c r="F10" s="39">
        <f>Projections!C9/Projections!C16</f>
        <v/>
      </c>
      <c r="G10" s="39">
        <f>Projections!D9/Projections!D16</f>
        <v/>
      </c>
    </row>
    <row r="11">
      <c r="B11" s="13" t="inlineStr">
        <is>
          <t>TOL/TNW (x)</t>
        </is>
      </c>
      <c r="C11" s="39">
        <f>Inputs!C20/Inputs!C19</f>
        <v/>
      </c>
      <c r="D11" s="39">
        <f>Inputs!D20/Inputs!D19</f>
        <v/>
      </c>
      <c r="E11" s="39">
        <f>Inputs!E20/Inputs!E19</f>
        <v/>
      </c>
      <c r="F11" s="39" t="inlineStr">
        <is>
          <t>n.a.</t>
        </is>
      </c>
      <c r="G11" s="39" t="inlineStr">
        <is>
          <t>n.a.</t>
        </is>
      </c>
    </row>
    <row r="12">
      <c r="B12" s="13">
        <f>"Total debt/"&amp;INDEX(Ref_Scales!I5:I7,MATCH(Inputs!C5,Ref_Scales!H5:H7,0))&amp;" (x)"</f>
        <v/>
      </c>
      <c r="C12" s="39">
        <f>Inputs!C17/Inputs!C13</f>
        <v/>
      </c>
      <c r="D12" s="39">
        <f>Inputs!D17/Inputs!D13</f>
        <v/>
      </c>
      <c r="E12" s="39">
        <f>Inputs!E17/Inputs!E13</f>
        <v/>
      </c>
      <c r="F12" s="39">
        <f>Projections!C9/Projections!C6</f>
        <v/>
      </c>
      <c r="G12" s="39">
        <f>Projections!D9/Projections!D6</f>
        <v/>
      </c>
    </row>
    <row r="13">
      <c r="B13" s="13" t="inlineStr">
        <is>
          <t>Total debt/GCA (x)</t>
        </is>
      </c>
      <c r="C13" s="39">
        <f>Inputs!C17/(Inputs!C16+Inputs!C14)</f>
        <v/>
      </c>
      <c r="D13" s="39">
        <f>Inputs!D17/(Inputs!D16+Inputs!D14)</f>
        <v/>
      </c>
      <c r="E13" s="39">
        <f>Inputs!E17/(Inputs!E16+Inputs!E14)</f>
        <v/>
      </c>
      <c r="F13" s="39">
        <f>Projections!C9/Projections!C14</f>
        <v/>
      </c>
      <c r="G13" s="39">
        <f>Projections!D9/Projections!D14</f>
        <v/>
      </c>
    </row>
    <row r="14">
      <c r="B14" s="13" t="inlineStr">
        <is>
          <t>Interest coverage (x)</t>
        </is>
      </c>
      <c r="C14" s="39">
        <f>Inputs!C13/Inputs!C15</f>
        <v/>
      </c>
      <c r="D14" s="39">
        <f>Inputs!D13/Inputs!D15</f>
        <v/>
      </c>
      <c r="E14" s="39">
        <f>Inputs!E13/Inputs!E15</f>
        <v/>
      </c>
      <c r="F14" s="39">
        <f>Projections!C6/Projections!C10</f>
        <v/>
      </c>
      <c r="G14" s="39">
        <f>Projections!D6/Projections!D10</f>
        <v/>
      </c>
    </row>
    <row r="15">
      <c r="B15" s="13" t="inlineStr">
        <is>
          <t>GCA/Total debt (x)</t>
        </is>
      </c>
      <c r="C15" s="39">
        <f>(Inputs!C16+Inputs!C14)/Inputs!C17</f>
        <v/>
      </c>
      <c r="D15" s="39">
        <f>(Inputs!D16+Inputs!D14)/Inputs!D17</f>
        <v/>
      </c>
      <c r="E15" s="39">
        <f>(Inputs!E16+Inputs!E14)/Inputs!E17</f>
        <v/>
      </c>
      <c r="F15" s="39">
        <f>Projections!C14/Projections!C9</f>
        <v/>
      </c>
      <c r="G15" s="39">
        <f>Projections!D14/Projections!D9</f>
        <v/>
      </c>
    </row>
    <row r="16">
      <c r="B16" s="13" t="inlineStr">
        <is>
          <t>Current ratio (x)</t>
        </is>
      </c>
      <c r="C16" s="39">
        <f>Inputs!C21/Inputs!C22</f>
        <v/>
      </c>
      <c r="D16" s="39">
        <f>Inputs!D21/Inputs!D22</f>
        <v/>
      </c>
      <c r="E16" s="39">
        <f>Inputs!E21/Inputs!E22</f>
        <v/>
      </c>
      <c r="F16" s="39" t="inlineStr">
        <is>
          <t>n.a.</t>
        </is>
      </c>
      <c r="G16" s="39" t="inlineStr">
        <is>
          <t>n.a.</t>
        </is>
      </c>
    </row>
    <row r="17">
      <c r="B17" s="13" t="inlineStr">
        <is>
          <t>Net debt (TD - cash &amp; liquid) (Rs crore)</t>
        </is>
      </c>
      <c r="C17" s="37">
        <f>Inputs!C17-Inputs!C18</f>
        <v/>
      </c>
      <c r="D17" s="37">
        <f>Inputs!D17-Inputs!D18</f>
        <v/>
      </c>
      <c r="E17" s="37">
        <f>Inputs!E17-Inputs!E18</f>
        <v/>
      </c>
      <c r="F17" s="37">
        <f>Projections!C9-Projections!C17</f>
        <v/>
      </c>
      <c r="G17" s="37">
        <f>Projections!D9-Projections!D17</f>
        <v/>
      </c>
    </row>
    <row r="19">
      <c r="B19" s="9" t="inlineStr">
        <is>
          <t>Guarded denominators: enter non-zero TNW/EBITDA/interest; zero inputs will show Excel errors by design (fix the input, not the formula).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44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2" customWidth="1" min="3" max="3"/>
    <col width="12" customWidth="1" min="4" max="4"/>
    <col width="13" customWidth="1" min="5" max="5"/>
    <col width="9" customWidth="1" min="6" max="6"/>
    <col width="9" customWidth="1" min="7" max="7"/>
    <col width="10" customWidth="1" min="8" max="8"/>
    <col width="52" customWidth="1" min="9" max="9"/>
  </cols>
  <sheetData>
    <row r="2">
      <c r="B2" s="1" t="inlineStr">
        <is>
          <t>Scorecard - financial risk auto-scored; qualitative from Inputs; weights by sector</t>
        </is>
      </c>
    </row>
    <row r="4">
      <c r="B4" s="10" t="inlineStr">
        <is>
          <t>1 - Financial risk (assessed on average of FY0 actual and FY+1 projected)</t>
        </is>
      </c>
    </row>
    <row r="5">
      <c r="B5" s="15" t="inlineStr">
        <is>
          <t>Metric</t>
        </is>
      </c>
      <c r="C5" s="15" t="inlineStr">
        <is>
          <t>FY0</t>
        </is>
      </c>
      <c r="D5" s="15" t="inlineStr">
        <is>
          <t>FY+1 (P)</t>
        </is>
      </c>
      <c r="E5" s="15" t="inlineStr">
        <is>
          <t>Assessed</t>
        </is>
      </c>
      <c r="F5" s="15" t="inlineStr">
        <is>
          <t>Score (1-6)</t>
        </is>
      </c>
      <c r="G5" s="15" t="inlineStr">
        <is>
          <t>Weight</t>
        </is>
      </c>
      <c r="H5" s="15" t="inlineStr">
        <is>
          <t>Wtd</t>
        </is>
      </c>
    </row>
    <row r="6">
      <c r="B6" s="13" t="inlineStr">
        <is>
          <t>Interest coverage (x)</t>
        </is>
      </c>
      <c r="C6" s="40">
        <f>Ratios!E14</f>
        <v/>
      </c>
      <c r="D6" s="40">
        <f>Ratios!F14</f>
        <v/>
      </c>
      <c r="E6" s="39">
        <f>AVERAGE(C6:D6)</f>
        <v/>
      </c>
      <c r="F6" s="23">
        <f>IF(Ref_Bands!$B$5="higher",6-COUNTIF(Ref_Bands!$C$5:$G$5,"&lt;="&amp;E6),1+COUNTIF(Ref_Bands!$C$5:$G$5,"&lt;"&amp;E6))</f>
        <v/>
      </c>
      <c r="G6" s="24">
        <f>Ref_Bands!$H$5</f>
        <v/>
      </c>
      <c r="H6" s="25">
        <f>F6*G6</f>
        <v/>
      </c>
      <c r="I6" s="9" t="inlineStr">
        <is>
          <t>Scores 1 (strongest) - 6 (weakest) from Ref_Bands thresholds; current ratio assessed on FY0 only (no projected balance-sheet split).</t>
        </is>
      </c>
    </row>
    <row r="7">
      <c r="B7" s="13" t="inlineStr">
        <is>
          <t>Gearing - TD/TNW (x)</t>
        </is>
      </c>
      <c r="C7" s="40">
        <f>Ratios!E10</f>
        <v/>
      </c>
      <c r="D7" s="40">
        <f>Ratios!F10</f>
        <v/>
      </c>
      <c r="E7" s="39">
        <f>AVERAGE(C7:D7)</f>
        <v/>
      </c>
      <c r="F7" s="23">
        <f>IF(Ref_Bands!$B$6="higher",6-COUNTIF(Ref_Bands!$C$6:$G$6,"&lt;="&amp;E7),1+COUNTIF(Ref_Bands!$C$6:$G$6,"&lt;"&amp;E7))</f>
        <v/>
      </c>
      <c r="G7" s="24">
        <f>Ref_Bands!$H$6</f>
        <v/>
      </c>
      <c r="H7" s="25">
        <f>F7*G7</f>
        <v/>
      </c>
    </row>
    <row r="8">
      <c r="B8" s="13" t="inlineStr">
        <is>
          <t>Total debt/EBITDA (x)</t>
        </is>
      </c>
      <c r="C8" s="40">
        <f>Ratios!E12</f>
        <v/>
      </c>
      <c r="D8" s="40">
        <f>Ratios!F12</f>
        <v/>
      </c>
      <c r="E8" s="39">
        <f>AVERAGE(C8:D8)</f>
        <v/>
      </c>
      <c r="F8" s="23">
        <f>IF(Ref_Bands!$B$7="higher",6-COUNTIF(Ref_Bands!$C$7:$G$7,"&lt;="&amp;E8),1+COUNTIF(Ref_Bands!$C$7:$G$7,"&lt;"&amp;E8))</f>
        <v/>
      </c>
      <c r="G8" s="24">
        <f>Ref_Bands!$H$7</f>
        <v/>
      </c>
      <c r="H8" s="25">
        <f>F8*G8</f>
        <v/>
      </c>
    </row>
    <row r="9">
      <c r="B9" s="13" t="inlineStr">
        <is>
          <t>EBITDA margin (fraction)</t>
        </is>
      </c>
      <c r="C9" s="41">
        <f>Ratios!E7</f>
        <v/>
      </c>
      <c r="D9" s="41">
        <f>Ratios!F7</f>
        <v/>
      </c>
      <c r="E9" s="38">
        <f>AVERAGE(C9:D9)</f>
        <v/>
      </c>
      <c r="F9" s="23">
        <f>IF(Ref_Bands!$B$8="higher",6-COUNTIF(Ref_Bands!$C$8:$G$8,"&lt;="&amp;E9),1+COUNTIF(Ref_Bands!$C$8:$G$8,"&lt;"&amp;E9))</f>
        <v/>
      </c>
      <c r="G9" s="24">
        <f>Ref_Bands!$H$8</f>
        <v/>
      </c>
      <c r="H9" s="25">
        <f>F9*G9</f>
        <v/>
      </c>
    </row>
    <row r="10">
      <c r="B10" s="13" t="inlineStr">
        <is>
          <t>GCA/Total debt (x)</t>
        </is>
      </c>
      <c r="C10" s="40">
        <f>Ratios!E15</f>
        <v/>
      </c>
      <c r="D10" s="40">
        <f>Ratios!F15</f>
        <v/>
      </c>
      <c r="E10" s="39">
        <f>AVERAGE(C10:D10)</f>
        <v/>
      </c>
      <c r="F10" s="23">
        <f>IF(Ref_Bands!$B$9="higher",6-COUNTIF(Ref_Bands!$C$9:$G$9,"&lt;="&amp;E10),1+COUNTIF(Ref_Bands!$C$9:$G$9,"&lt;"&amp;E10))</f>
        <v/>
      </c>
      <c r="G10" s="24">
        <f>Ref_Bands!$H$9</f>
        <v/>
      </c>
      <c r="H10" s="25">
        <f>F10*G10</f>
        <v/>
      </c>
    </row>
    <row r="11">
      <c r="B11" s="13" t="inlineStr">
        <is>
          <t>Current ratio (x)</t>
        </is>
      </c>
      <c r="C11" s="40">
        <f>Ratios!E16</f>
        <v/>
      </c>
      <c r="D11" s="40">
        <f>Ratios!E16</f>
        <v/>
      </c>
      <c r="E11" s="39">
        <f>AVERAGE(C11:D11)</f>
        <v/>
      </c>
      <c r="F11" s="23">
        <f>IF(Ref_Bands!$B$10="higher",6-COUNTIF(Ref_Bands!$C$10:$G$10,"&lt;="&amp;E11),1+COUNTIF(Ref_Bands!$C$10:$G$10,"&lt;"&amp;E11))</f>
        <v/>
      </c>
      <c r="G11" s="24">
        <f>Ref_Bands!$H$10</f>
        <v/>
      </c>
      <c r="H11" s="25">
        <f>F11*G11</f>
        <v/>
      </c>
    </row>
    <row r="12">
      <c r="B12" s="5" t="inlineStr">
        <is>
          <t>Financial risk score</t>
        </is>
      </c>
      <c r="E12" s="27" t="inlineStr"/>
      <c r="F12" s="28">
        <f>SUM(H6:H11)/SUM(G6:G11)</f>
        <v/>
      </c>
    </row>
    <row r="15">
      <c r="B15" s="10" t="inlineStr">
        <is>
          <t>2 - Risk blocks and sector weights</t>
        </is>
      </c>
    </row>
    <row r="16">
      <c r="B16" s="15" t="inlineStr">
        <is>
          <t>Block</t>
        </is>
      </c>
      <c r="C16" s="15" t="inlineStr">
        <is>
          <t>Score (1-6)</t>
        </is>
      </c>
      <c r="D16" s="15" t="inlineStr">
        <is>
          <t>Sector weight</t>
        </is>
      </c>
      <c r="E16" s="15" t="inlineStr">
        <is>
          <t>Weighted</t>
        </is>
      </c>
    </row>
    <row r="17">
      <c r="B17" s="13" t="inlineStr">
        <is>
          <t>Industry / operating-environment risk</t>
        </is>
      </c>
      <c r="C17" s="25">
        <f>IF(Inputs!C39&lt;&gt;"",Inputs!C39,INDEX(Ref_Weights!$B$5:$B$26,MATCH(Inputs!$C$6,Ref_Weights!$A$5:$A$26,0)))</f>
        <v/>
      </c>
      <c r="D17" s="24">
        <f>INDEX(Ref_Weights!$C$5:$C$26,MATCH(Inputs!$C$6,Ref_Weights!$A$5:$A$26,0))</f>
        <v/>
      </c>
      <c r="E17" s="25">
        <f>C17*D17</f>
        <v/>
      </c>
    </row>
    <row r="18">
      <c r="B18" s="13" t="inlineStr">
        <is>
          <t>Business risk / market position / franchise</t>
        </is>
      </c>
      <c r="C18" s="25">
        <f>Inputs!C40</f>
        <v/>
      </c>
      <c r="D18" s="24">
        <f>INDEX(Ref_Weights!$D$5:$D$26,MATCH(Inputs!$C$6,Ref_Weights!$A$5:$A$26,0))</f>
        <v/>
      </c>
      <c r="E18" s="25">
        <f>C18*D18</f>
        <v/>
      </c>
    </row>
    <row r="19">
      <c r="B19" s="13" t="inlineStr">
        <is>
          <t>Financial risk (auto: corporate OR financial-sector)</t>
        </is>
      </c>
      <c r="C19" s="25">
        <f>IF(INDEX(Ref_Weights!$H$5:$H$26,MATCH(Inputs!$C$6,Ref_Weights!$A$5:$A$26,0))="Corporate",F12,F35)</f>
        <v/>
      </c>
      <c r="D19" s="24">
        <f>INDEX(Ref_Weights!$E$5:$E$26,MATCH(Inputs!$C$6,Ref_Weights!$A$5:$A$26,0))</f>
        <v/>
      </c>
      <c r="E19" s="25">
        <f>C19*D19</f>
        <v/>
      </c>
    </row>
    <row r="20">
      <c r="B20" s="13" t="inlineStr">
        <is>
          <t>Management &amp; governance</t>
        </is>
      </c>
      <c r="C20" s="25">
        <f>Inputs!C41</f>
        <v/>
      </c>
      <c r="D20" s="24">
        <f>INDEX(Ref_Weights!$F$5:$F$26,MATCH(Inputs!$C$6,Ref_Weights!$A$5:$A$26,0))</f>
        <v/>
      </c>
      <c r="E20" s="25">
        <f>C20*D20</f>
        <v/>
      </c>
    </row>
    <row r="22">
      <c r="B22" s="5" t="inlineStr">
        <is>
          <t>Composite score (weighted)</t>
        </is>
      </c>
      <c r="E22" s="28">
        <f>SUM(E17:E20)/SUM(D17:D20)</f>
        <v/>
      </c>
    </row>
    <row r="23">
      <c r="B23" s="13" t="inlineStr">
        <is>
          <t>Liquidity adjustment</t>
        </is>
      </c>
      <c r="E23" s="24">
        <f>INDEX(Ref_Scales!$F$5:$F$9,MATCH(Inputs!$C$43,Ref_Scales!$E$5:$E$9,0))</f>
        <v/>
      </c>
    </row>
    <row r="24">
      <c r="B24" s="5" t="inlineStr">
        <is>
          <t>Adjusted composite (1 = best, 6 = worst)</t>
        </is>
      </c>
      <c r="E24" s="28">
        <f>MIN(6,MAX(1,E22+E23))</f>
        <v/>
      </c>
    </row>
    <row r="27">
      <c r="B27" s="10" t="inlineStr">
        <is>
          <t>1b - Financial-sector risk (banks / NBFCs / HFCs) - used only when Sector Type is not Corporate</t>
        </is>
      </c>
    </row>
    <row r="28">
      <c r="B28" s="15" t="inlineStr">
        <is>
          <t>Metric</t>
        </is>
      </c>
      <c r="C28" s="15" t="inlineStr">
        <is>
          <t>Latest</t>
        </is>
      </c>
      <c r="D28" s="15" t="inlineStr">
        <is>
          <t>Expected</t>
        </is>
      </c>
      <c r="E28" s="15" t="inlineStr">
        <is>
          <t>Assessed</t>
        </is>
      </c>
      <c r="F28" s="15" t="inlineStr">
        <is>
          <t>Score (1-6)</t>
        </is>
      </c>
      <c r="G28" s="15" t="inlineStr">
        <is>
          <t>Weight</t>
        </is>
      </c>
      <c r="H28" s="15" t="inlineStr">
        <is>
          <t>Wtd</t>
        </is>
      </c>
    </row>
    <row r="29">
      <c r="B29" s="13" t="inlineStr">
        <is>
          <t>Capital adequacy - CRAR (%)</t>
        </is>
      </c>
      <c r="C29" s="41">
        <f>Inputs!C49</f>
        <v/>
      </c>
      <c r="D29" s="41">
        <f>Inputs!D49</f>
        <v/>
      </c>
      <c r="E29" s="38">
        <f>AVERAGE(C29:D29)</f>
        <v/>
      </c>
      <c r="F29" s="23">
        <f>IF(Ref_Bands_Fin!$B$5="higher",6-COUNTIF(Ref_Bands_Fin!$C$5:$G$5,"&lt;="&amp;E29),1+COUNTIF(Ref_Bands_Fin!$C$5:$G$5,"&lt;"&amp;E29))</f>
        <v/>
      </c>
      <c r="G29" s="24">
        <f>Ref_Bands_Fin!$H$5</f>
        <v/>
      </c>
      <c r="H29" s="25">
        <f>F29*G29</f>
        <v/>
      </c>
    </row>
    <row r="30">
      <c r="B30" s="13" t="inlineStr">
        <is>
          <t>Gross NPA (%)</t>
        </is>
      </c>
      <c r="C30" s="41">
        <f>Inputs!C50</f>
        <v/>
      </c>
      <c r="D30" s="41">
        <f>Inputs!D50</f>
        <v/>
      </c>
      <c r="E30" s="38">
        <f>AVERAGE(C30:D30)</f>
        <v/>
      </c>
      <c r="F30" s="23">
        <f>IF(Ref_Bands_Fin!$B$6="higher",6-COUNTIF(Ref_Bands_Fin!$C$6:$G$6,"&lt;="&amp;E30),1+COUNTIF(Ref_Bands_Fin!$C$6:$G$6,"&lt;"&amp;E30))</f>
        <v/>
      </c>
      <c r="G30" s="24">
        <f>Ref_Bands_Fin!$H$6</f>
        <v/>
      </c>
      <c r="H30" s="25">
        <f>F30*G30</f>
        <v/>
      </c>
    </row>
    <row r="31">
      <c r="B31" s="13" t="inlineStr">
        <is>
          <t>Net NPA (%)</t>
        </is>
      </c>
      <c r="C31" s="41">
        <f>Inputs!C51</f>
        <v/>
      </c>
      <c r="D31" s="41">
        <f>Inputs!D51</f>
        <v/>
      </c>
      <c r="E31" s="38">
        <f>AVERAGE(C31:D31)</f>
        <v/>
      </c>
      <c r="F31" s="23">
        <f>IF(Ref_Bands_Fin!$B$7="higher",6-COUNTIF(Ref_Bands_Fin!$C$7:$G$7,"&lt;="&amp;E31),1+COUNTIF(Ref_Bands_Fin!$C$7:$G$7,"&lt;"&amp;E31))</f>
        <v/>
      </c>
      <c r="G31" s="24">
        <f>Ref_Bands_Fin!$H$7</f>
        <v/>
      </c>
      <c r="H31" s="25">
        <f>F31*G31</f>
        <v/>
      </c>
    </row>
    <row r="32">
      <c r="B32" s="13" t="inlineStr">
        <is>
          <t>Return on assets - RoA (%)</t>
        </is>
      </c>
      <c r="C32" s="41">
        <f>Inputs!C52</f>
        <v/>
      </c>
      <c r="D32" s="41">
        <f>Inputs!D52</f>
        <v/>
      </c>
      <c r="E32" s="38">
        <f>AVERAGE(C32:D32)</f>
        <v/>
      </c>
      <c r="F32" s="23">
        <f>IF(Ref_Bands_Fin!$B$8="higher",6-COUNTIF(Ref_Bands_Fin!$C$8:$G$8,"&lt;="&amp;E32),1+COUNTIF(Ref_Bands_Fin!$C$8:$G$8,"&lt;"&amp;E32))</f>
        <v/>
      </c>
      <c r="G32" s="24">
        <f>Ref_Bands_Fin!$H$8</f>
        <v/>
      </c>
      <c r="H32" s="25">
        <f>F32*G32</f>
        <v/>
      </c>
    </row>
    <row r="33">
      <c r="B33" s="13" t="inlineStr">
        <is>
          <t>Net interest margin - NIM (%)</t>
        </is>
      </c>
      <c r="C33" s="41">
        <f>Inputs!C53</f>
        <v/>
      </c>
      <c r="D33" s="41">
        <f>Inputs!D53</f>
        <v/>
      </c>
      <c r="E33" s="38">
        <f>AVERAGE(C33:D33)</f>
        <v/>
      </c>
      <c r="F33" s="23">
        <f>IF(Ref_Bands_Fin!$B$9="higher",6-COUNTIF(Ref_Bands_Fin!$C$9:$G$9,"&lt;="&amp;E33),1+COUNTIF(Ref_Bands_Fin!$C$9:$G$9,"&lt;"&amp;E33))</f>
        <v/>
      </c>
      <c r="G33" s="24">
        <f>Ref_Bands_Fin!$H$9</f>
        <v/>
      </c>
      <c r="H33" s="25">
        <f>F33*G33</f>
        <v/>
      </c>
    </row>
    <row r="34">
      <c r="B34" s="13" t="inlineStr">
        <is>
          <t>Cost-to-income (%)</t>
        </is>
      </c>
      <c r="C34" s="41">
        <f>Inputs!C54</f>
        <v/>
      </c>
      <c r="D34" s="41">
        <f>Inputs!D54</f>
        <v/>
      </c>
      <c r="E34" s="38">
        <f>AVERAGE(C34:D34)</f>
        <v/>
      </c>
      <c r="F34" s="23">
        <f>IF(Ref_Bands_Fin!$B$10="higher",6-COUNTIF(Ref_Bands_Fin!$C$10:$G$10,"&lt;="&amp;E34),1+COUNTIF(Ref_Bands_Fin!$C$10:$G$10,"&lt;"&amp;E34))</f>
        <v/>
      </c>
      <c r="G34" s="24">
        <f>Ref_Bands_Fin!$H$10</f>
        <v/>
      </c>
      <c r="H34" s="25">
        <f>F34*G34</f>
        <v/>
      </c>
    </row>
    <row r="35">
      <c r="B35" s="5" t="inlineStr">
        <is>
          <t>Financial-sector risk score</t>
        </is>
      </c>
      <c r="F35" s="28">
        <f>SUM(H29:H34)/SUM(G29:G34)</f>
        <v/>
      </c>
    </row>
    <row r="37">
      <c r="B37" s="72" t="inlineStr">
        <is>
          <t>3 - BUSINESS-RISK GATE (failure mode 53)</t>
        </is>
      </c>
    </row>
    <row r="38">
      <c r="B38" t="inlineStr">
        <is>
          <t>Neither ICRA nor CareEdge publishes a business-risk-to-notch formula. Their Financial Risk factors carry numeric bands; their Business Risk factors are descriptive only. So business risk sets a CEILING here - it is not scored into the Stage 1 composite above.</t>
        </is>
      </c>
    </row>
    <row r="39">
      <c r="B39" t="inlineStr">
        <is>
          <t>Business risk score (1-6)</t>
        </is>
      </c>
      <c r="C39">
        <f>C18</f>
        <v/>
      </c>
    </row>
    <row r="40">
      <c r="B40" t="inlineStr">
        <is>
          <t>Financial risk score (1-6)</t>
        </is>
      </c>
      <c r="C40">
        <f>C19</f>
        <v/>
      </c>
    </row>
    <row r="41">
      <c r="B41" t="inlineStr">
        <is>
          <t>Business weaker than financial by</t>
        </is>
      </c>
      <c r="C41">
        <f>C39-C40</f>
        <v/>
      </c>
    </row>
    <row r="42">
      <c r="B42" t="inlineStr">
        <is>
          <t>GATE</t>
        </is>
      </c>
      <c r="C42">
        <f>IF(C41&gt;=2,"YES - set a ceiling in Inputs!C69 or state in Inputs!D69 why none applies","No - business and financial risk agree within one band")</f>
        <v/>
      </c>
    </row>
    <row r="43">
      <c r="B43" t="inlineStr">
        <is>
          <t>Ceiling grade entered (Inputs!C69)</t>
        </is>
      </c>
      <c r="C43">
        <f>Inputs!C69</f>
        <v/>
      </c>
      <c r="D43">
        <f>Inputs!D69</f>
        <v/>
      </c>
    </row>
    <row r="44">
      <c r="B44" t="inlineStr">
        <is>
          <t>Ceiling index (0 = none/AAA ... 16 = C)</t>
        </is>
      </c>
      <c r="C44">
        <f>IF(Inputs!C69="",0,IFERROR(MATCH(Inputs!C69,Ref_Scales!$A$5:$A$21,0)-1,0))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74"/>
  <sheetViews>
    <sheetView workbookViewId="0">
      <selection activeCell="A1" sqref="A1"/>
    </sheetView>
  </sheetViews>
  <sheetFormatPr baseColWidth="8" defaultRowHeight="15"/>
  <cols>
    <col width="3" customWidth="1" min="1" max="1"/>
    <col width="62" customWidth="1" min="2" max="2"/>
    <col width="30" customWidth="1" min="3" max="3"/>
    <col width="62" customWidth="1" min="4" max="4"/>
    <col width="14" customWidth="1" min="5" max="5"/>
    <col width="18" customWidth="1" min="6" max="6"/>
  </cols>
  <sheetData>
    <row r="2">
      <c r="B2" s="52" t="inlineStr">
        <is>
          <t>ASSIGNED RATING   -   this is the rating the rationale must state</t>
        </is>
      </c>
    </row>
    <row r="3">
      <c r="B3" t="inlineStr">
        <is>
          <t>Long-term</t>
        </is>
      </c>
      <c r="C3" s="53">
        <f>C36</f>
        <v/>
      </c>
    </row>
    <row r="4">
      <c r="B4" s="19" t="inlineStr">
        <is>
          <t>Short-term</t>
        </is>
      </c>
      <c r="C4" s="53">
        <f>C37</f>
        <v/>
      </c>
    </row>
    <row r="5">
      <c r="B5" t="inlineStr">
        <is>
          <t>Combined</t>
        </is>
      </c>
      <c r="C5" s="54">
        <f>C38</f>
        <v/>
      </c>
    </row>
    <row r="6">
      <c r="B6" s="55">
        <f>"Issuer: "&amp;Inputs!C4&amp;"   |   Agency: "&amp;Inputs!C5&amp;"   |   Sector: "&amp;Inputs!C6</f>
        <v/>
      </c>
      <c r="C6" s="25" t="n"/>
      <c r="E6" s="13" t="inlineStr">
        <is>
          <t>Sector type</t>
        </is>
      </c>
      <c r="F6" s="13">
        <f>INDEX(Ref_Weights!$H$5:$H$26,MATCH(Inputs!$C$6,Ref_Weights!$A$5:$A$26,0))</f>
        <v/>
      </c>
    </row>
    <row r="7">
      <c r="B7" s="56" t="inlineStr">
        <is>
          <t>Derived below: STAGE 1 financial anchor  -&gt;  STAGE 2 committee overlay  -&gt;  STAGE 3 assigned rating. Every step is computed on this sheet.</t>
        </is>
      </c>
      <c r="C7" s="23" t="n"/>
    </row>
    <row r="8">
      <c r="B8" s="13" t="n"/>
      <c r="C8" s="23" t="n"/>
    </row>
    <row r="9">
      <c r="B9" s="57" t="inlineStr">
        <is>
          <t>STAGE 1 - FINANCIAL ANCHOR   (screening view, computed from audited financials alone)</t>
        </is>
      </c>
      <c r="C9" s="23" t="n"/>
    </row>
    <row r="10">
      <c r="B10" s="13" t="inlineStr">
        <is>
          <t>Adjusted composite score</t>
        </is>
      </c>
      <c r="C10" s="13">
        <f>Scorecard!E24</f>
        <v/>
      </c>
    </row>
    <row r="11">
      <c r="B11" s="13" t="inlineStr">
        <is>
          <t>Scale index before notches (0 = AAA ... 19 = D)</t>
        </is>
      </c>
      <c r="C11" s="23">
        <f>MIN(19,MAX(0,ROUND(16*((C10-1)/5)^1.4,0)))</f>
        <v/>
      </c>
      <c r="D11" s="58" t="inlineStr">
        <is>
          <t>back-tested map (18-Jul-2026): power p=1.4, zero bias, reliable to about +/-2 notches as a SCREEN</t>
        </is>
      </c>
    </row>
    <row r="12">
      <c r="B12" s="5" t="inlineStr">
        <is>
          <t>Support notches entered at Step 12b (+ improves)</t>
        </is>
      </c>
      <c r="C12" s="29">
        <f>Inputs!C42</f>
        <v/>
      </c>
    </row>
    <row r="13">
      <c r="B13" s="5" t="inlineStr">
        <is>
          <t>Index after support notches</t>
        </is>
      </c>
      <c r="C13" s="29">
        <f>MIN(19,MAX(0,C11-C12))</f>
        <v/>
      </c>
    </row>
    <row r="14">
      <c r="B14" t="inlineStr">
        <is>
          <t>Hard cap tested</t>
        </is>
      </c>
      <c r="C14">
        <f>IF(Inputs!C67="N","DISAPPLIED for this issuer - reason in Inputs!D67",IF(F6="Corporate",IF(Inputs!E19&lt;0,"Negative net worth: capped at B-",IF(Ratios!E14&lt;1,"Coverage &lt;1x: capped at B+","None")),IF(Inputs!C49&lt;0.09,"CRAR below 9%: capped at BB+","None")))</f>
        <v/>
      </c>
      <c r="D14" s="59">
        <f>IF(Inputs!C67="N",Inputs!D67,"(cap applies - not disapplied)")</f>
        <v/>
      </c>
    </row>
    <row r="15">
      <c r="B15" t="inlineStr">
        <is>
          <t>ANCHOR INDEX (after caps)</t>
        </is>
      </c>
      <c r="C15" s="50">
        <f>MAX(IF(Inputs!C67="N",C13,IF(F6="Corporate",IF(Inputs!E19&lt;0,MAX(C13,15),IF(Ratios!E14&lt;1,MAX(C13,13),C13)),IF(Inputs!C49&lt;0.09,MAX(C13,10),C13))),Scorecard!C44)</f>
        <v/>
      </c>
    </row>
    <row r="16">
      <c r="B16" s="10" t="inlineStr">
        <is>
          <t>Anchor long-term grade</t>
        </is>
      </c>
      <c r="C16">
        <f>INDEX(Ref_Scales!$A$5:$A$24,C15+1)</f>
        <v/>
      </c>
    </row>
    <row r="17">
      <c r="B17" s="13" t="inlineStr">
        <is>
          <t>Anchor short-term grade</t>
        </is>
      </c>
      <c r="C17" s="29">
        <f>IF(OR(Inputs!$C$43="Superior",Inputs!$C$43="Strong"),INDEX(Ref_Scales!$C$5:$C$24,C15+1),INDEX(Ref_Scales!$B$5:$B$24,C15+1))</f>
        <v/>
      </c>
    </row>
    <row r="18">
      <c r="B18" s="13" t="inlineStr">
        <is>
          <t>Anchor line  (a SCREEN, not the rating)</t>
        </is>
      </c>
      <c r="C18" s="60">
        <f>C16&amp;" / "&amp;C17</f>
        <v/>
      </c>
    </row>
    <row r="19" ht="24" customHeight="1">
      <c r="B19" s="13" t="inlineStr">
        <is>
          <t>Stage 1 is bounded above by the business-risk ceiling (Scorecard!B37) - a ceiling on the grade is a floor on the index, so it is applied to C15 as a MAX. With no ceiling set it has no effect.</t>
        </is>
      </c>
      <c r="C19" s="30" t="n"/>
    </row>
    <row r="20">
      <c r="B20" s="61" t="inlineStr">
        <is>
          <t>STAGE 2 - COMMITTEE OVERLAY   (Step 17c: what the anchor cannot see)</t>
        </is>
      </c>
      <c r="C20" s="49" t="inlineStr">
        <is>
          <t>Notches</t>
        </is>
      </c>
      <c r="D20" s="49" t="inlineStr">
        <is>
          <t>Justification</t>
        </is>
      </c>
    </row>
    <row r="21">
      <c r="B21" t="inlineStr">
        <is>
          <t>Sector-metric applicability</t>
        </is>
      </c>
      <c r="C21">
        <f>Inputs!C60</f>
        <v/>
      </c>
      <c r="D21" s="46">
        <f>Inputs!D60</f>
        <v/>
      </c>
    </row>
    <row r="22">
      <c r="B22" s="10" t="inlineStr">
        <is>
          <t>Business / franchise strength beyond the financial composite</t>
        </is>
      </c>
      <c r="C22">
        <f>Inputs!C61</f>
        <v/>
      </c>
      <c r="D22" s="46">
        <f>Inputs!D61</f>
        <v/>
      </c>
    </row>
    <row r="23">
      <c r="B23" s="15" t="inlineStr">
        <is>
          <t>Parent / group support beyond the Step 12b notch</t>
        </is>
      </c>
      <c r="C23" s="15">
        <f>Inputs!C62</f>
        <v/>
      </c>
      <c r="D23" s="62">
        <f>Inputs!D62</f>
        <v/>
      </c>
    </row>
    <row r="24">
      <c r="B24" s="13" t="inlineStr">
        <is>
          <t>Peer benchmarking / calibration</t>
        </is>
      </c>
      <c r="C24" s="42">
        <f>Inputs!C63</f>
        <v/>
      </c>
      <c r="D24" s="63">
        <f>Inputs!D63</f>
        <v/>
      </c>
    </row>
    <row r="25">
      <c r="B25" s="13" t="inlineStr">
        <is>
          <t>Other (name it in the justification)</t>
        </is>
      </c>
      <c r="C25" s="42">
        <f>Inputs!C64</f>
        <v/>
      </c>
      <c r="D25" s="63">
        <f>Inputs!D64</f>
        <v/>
      </c>
    </row>
    <row r="26">
      <c r="B26" s="13" t="inlineStr">
        <is>
          <t>Total overlay notches (+ improves)</t>
        </is>
      </c>
      <c r="C26" s="64">
        <f>SUM(C21:C25)</f>
        <v/>
      </c>
      <c r="D26" s="42" t="n"/>
    </row>
    <row r="27">
      <c r="B27" s="13" t="inlineStr">
        <is>
          <t>Index after overlay</t>
        </is>
      </c>
      <c r="C27" s="42">
        <f>MIN(19,MAX(0,C15-C26))</f>
        <v/>
      </c>
      <c r="D27" s="42" t="n"/>
    </row>
    <row r="28">
      <c r="B28" s="13" t="n"/>
      <c r="C28" s="42" t="n"/>
      <c r="D28" s="42" t="n"/>
    </row>
    <row r="29">
      <c r="B29" s="65" t="inlineStr">
        <is>
          <t>STAGE 3 - ASSIGNED RATING   (the Committee's decision - what the rationale states)</t>
        </is>
      </c>
      <c r="C29" s="40" t="n"/>
      <c r="D29" s="40" t="n"/>
    </row>
    <row r="30">
      <c r="B30" s="13" t="inlineStr">
        <is>
          <t>Committee direct override index (blank = anchor + overlay)</t>
        </is>
      </c>
      <c r="C30" s="40">
        <f>IF(Inputs!C66="","(none)",Inputs!C66)</f>
        <v/>
      </c>
      <c r="D30" s="66">
        <f>Inputs!D66</f>
        <v/>
      </c>
    </row>
    <row r="31">
      <c r="B31" s="13" t="inlineStr">
        <is>
          <t>ASSIGNED INDEX</t>
        </is>
      </c>
      <c r="C31" s="64">
        <f>IF(Inputs!C66="",C27,Inputs!C66)</f>
        <v/>
      </c>
      <c r="D31" s="42" t="n"/>
    </row>
    <row r="32">
      <c r="B32" t="inlineStr">
        <is>
          <t>Assigned long-term grade</t>
        </is>
      </c>
      <c r="C32" s="50">
        <f>INDEX(Ref_Scales!$A$5:$A$24,C31+1)</f>
        <v/>
      </c>
    </row>
    <row r="33">
      <c r="B33" s="9" t="inlineStr">
        <is>
          <t>Assigned short-term grade</t>
        </is>
      </c>
      <c r="C33">
        <f>IF(OR(Inputs!$C$43="Superior",Inputs!$C$43="Strong"),INDEX(Ref_Scales!$C$5:$C$24,C31+1),INDEX(Ref_Scales!$B$5:$B$24,C31+1))</f>
        <v/>
      </c>
    </row>
    <row r="34">
      <c r="B34" t="inlineStr">
        <is>
          <t>Divergence, anchor -&gt; assigned (notches)</t>
        </is>
      </c>
      <c r="C34">
        <f>C15-C31</f>
        <v/>
      </c>
      <c r="D34" s="59">
        <f>IF(C34=0,"None - the anchor and the assigned rating agree.","COMPUTED, not typed. Stage 2 must carry a justification for every notch of this. The rationale quotes THIS number.")</f>
        <v/>
      </c>
    </row>
    <row r="36">
      <c r="B36" t="inlineStr">
        <is>
          <t>Assigned long-term line (agency house style)</t>
        </is>
      </c>
      <c r="C36">
        <f>IF(Inputs!C5="ICRA","[ICRA]"&amp;C32&amp;IF(AND(Inputs!C44&lt;&gt;"Not applicable",LEFT(C32,1)&lt;&gt;"C",LEFT(C32,1)&lt;&gt;"D")," ("&amp;Inputs!C44&amp;")",""),IF(Inputs!C5="CRISIL","Crisil "&amp;C32&amp;IF(AND(Inputs!C44&lt;&gt;"Not applicable",LEFT(C32,1)&lt;&gt;"C",LEFT(C32,1)&lt;&gt;"D"),"/"&amp;Inputs!C44,""),"CARE "&amp;C32&amp;IF(AND(Inputs!C44&lt;&gt;"Not applicable",LEFT(C32,1)&lt;&gt;"C",LEFT(C32,1)&lt;&gt;"D"),"; "&amp;Inputs!C44,"")))</f>
        <v/>
      </c>
    </row>
    <row r="37">
      <c r="B37" t="inlineStr">
        <is>
          <t>Assigned short-term line</t>
        </is>
      </c>
      <c r="C37">
        <f>IF(Inputs!C5="ICRA","[ICRA]"&amp;C33,IF(Inputs!C5="CRISIL","Crisil "&amp;C33,"CARE "&amp;C33))</f>
        <v/>
      </c>
    </row>
    <row r="38">
      <c r="B38" t="inlineStr">
        <is>
          <t>Assigned combined</t>
        </is>
      </c>
      <c r="C38">
        <f>C36&amp;" / "&amp;C37</f>
        <v/>
      </c>
    </row>
    <row r="40">
      <c r="B40" s="50" t="inlineStr">
        <is>
          <t>Future earning potential (from Projections)</t>
        </is>
      </c>
    </row>
    <row r="41">
      <c r="B41" t="inlineStr">
        <is>
          <t>Rs crore / x</t>
        </is>
      </c>
      <c r="C41" t="inlineStr">
        <is>
          <t>FY+1</t>
        </is>
      </c>
      <c r="D41" t="inlineStr">
        <is>
          <t>FY+2</t>
        </is>
      </c>
    </row>
    <row r="42">
      <c r="B42" t="inlineStr">
        <is>
          <t>Revenue</t>
        </is>
      </c>
      <c r="C42">
        <f>Projections!C5</f>
        <v/>
      </c>
      <c r="D42">
        <f>Projections!D5</f>
        <v/>
      </c>
    </row>
    <row r="43">
      <c r="B43" t="inlineStr">
        <is>
          <t>EBITDA</t>
        </is>
      </c>
      <c r="C43">
        <f>Projections!C6</f>
        <v/>
      </c>
      <c r="D43">
        <f>Projections!D6</f>
        <v/>
      </c>
    </row>
    <row r="44">
      <c r="B44" t="inlineStr">
        <is>
          <t>PAT</t>
        </is>
      </c>
      <c r="C44">
        <f>Projections!C13</f>
        <v/>
      </c>
      <c r="D44">
        <f>Projections!D13</f>
        <v/>
      </c>
    </row>
    <row r="45">
      <c r="B45" t="inlineStr">
        <is>
          <t>Gross cash accruals</t>
        </is>
      </c>
      <c r="C45">
        <f>Projections!C14</f>
        <v/>
      </c>
      <c r="D45">
        <f>Projections!D14</f>
        <v/>
      </c>
    </row>
    <row r="46">
      <c r="B46" t="inlineStr">
        <is>
          <t>Free cash flow</t>
        </is>
      </c>
      <c r="C46">
        <f>Projections!C18</f>
        <v/>
      </c>
      <c r="D46">
        <f>Projections!D18</f>
        <v/>
      </c>
    </row>
    <row r="47">
      <c r="B47" t="inlineStr">
        <is>
          <t>Interest coverage (x)</t>
        </is>
      </c>
      <c r="C47">
        <f>Ratios!F14</f>
        <v/>
      </c>
      <c r="D47">
        <f>Ratios!G14</f>
        <v/>
      </c>
    </row>
    <row r="48">
      <c r="B48" t="inlineStr">
        <is>
          <t>Gearing (x)</t>
        </is>
      </c>
      <c r="C48">
        <f>Ratios!F10</f>
        <v/>
      </c>
      <c r="D48">
        <f>Ratios!G10</f>
        <v/>
      </c>
    </row>
    <row r="49">
      <c r="B49" t="inlineStr">
        <is>
          <t>Net debt</t>
        </is>
      </c>
      <c r="C49">
        <f>Ratios!F17</f>
        <v/>
      </c>
      <c r="D49">
        <f>Ratios!G17</f>
        <v/>
      </c>
    </row>
    <row r="51">
      <c r="B51" s="59" t="inlineStr">
        <is>
          <t>HOW TO READ THIS SHEET. Stage 1 is a SCREEN computed from the audited financials alone - it is deliberately blind to franchise, parentage and sector accounting conventions, so that anything those factors add has to be argued rather than absorbed silently. Stage 2 is where that argument is recorded, one justified notch at a time. Stage 3 is the Committee's decision and is the ONLY grade on this sheet that is a rating.</t>
        </is>
      </c>
    </row>
    <row r="53">
      <c r="B53" s="59" t="inlineStr">
        <is>
          <t>This workbook is an analytical exercise output, not an agency publication. The rating decision belongs to the Rating Committee (Step 17c), never to this sheet.</t>
        </is>
      </c>
    </row>
    <row r="55">
      <c r="B55" s="67" t="inlineStr">
        <is>
          <t>RECONCILIATION - this workbook against the rationale</t>
        </is>
      </c>
      <c r="C55" s="51" t="n"/>
      <c r="D55" s="51" t="n"/>
      <c r="E55" s="51" t="n"/>
      <c r="F55" s="51" t="n"/>
    </row>
    <row r="56">
      <c r="B56" s="68" t="inlineStr">
        <is>
          <t>Assigned rating on this sheet (Stage 3, cell C36)</t>
        </is>
      </c>
      <c r="C56" s="69" t="inlineStr">
        <is>
          <t>Crisil AAA/Stable</t>
        </is>
      </c>
    </row>
    <row r="57">
      <c r="B57" s="68" t="inlineStr">
        <is>
          <t>Rating stated in the rationale</t>
        </is>
      </c>
      <c r="C57" s="69" t="inlineStr">
        <is>
          <t>Crisil AAA/Stable</t>
        </is>
      </c>
    </row>
    <row r="58">
      <c r="B58" s="68" t="inlineStr">
        <is>
          <t>Do they agree?</t>
        </is>
      </c>
      <c r="C58" s="69" t="inlineStr">
        <is>
          <t>YES</t>
        </is>
      </c>
    </row>
    <row r="59">
      <c r="B59" s="68" t="n"/>
      <c r="C59" s="69" t="inlineStr"/>
    </row>
    <row r="60">
      <c r="B60" s="68" t="inlineStr">
        <is>
          <t>Financial anchor (Stage 1, cell C16)</t>
        </is>
      </c>
      <c r="C60" s="69" t="inlineStr">
        <is>
          <t>AA+</t>
        </is>
      </c>
    </row>
    <row r="61">
      <c r="B61" s="68" t="inlineStr">
        <is>
          <t>Hard cap tested</t>
        </is>
      </c>
      <c r="C61" s="69" t="inlineStr">
        <is>
          <t>None</t>
        </is>
      </c>
    </row>
    <row r="62">
      <c r="B62" s="68" t="inlineStr">
        <is>
          <t>Divergence anchor -&gt; assigned, in notches (computed, C34)</t>
        </is>
      </c>
      <c r="C62" s="69" t="n">
        <v>1</v>
      </c>
    </row>
    <row r="63">
      <c r="B63" s="71" t="n"/>
    </row>
    <row r="64">
      <c r="B64" s="71" t="inlineStr">
        <is>
          <t>The anchor is a SCREEN computed from the audited financials alone. Every notch between it and the assigned</t>
        </is>
      </c>
    </row>
    <row r="65">
      <c r="B65" s="71" t="inlineStr">
        <is>
          <t>rating is itemised and justified in Stage 2 on this sheet - not asserted in prose. The notch count above is</t>
        </is>
      </c>
    </row>
    <row r="66">
      <c r="B66" s="71" t="inlineStr">
        <is>
          <t>COMPUTED by the workbook; it is never typed, because the first two hand-typed notch counts in this project</t>
        </is>
      </c>
    </row>
    <row r="67">
      <c r="B67" s="71" t="inlineStr">
        <is>
          <t>were both wrong (Godrej Properties said 9 where the chain gives 3 after the sector correction; Vodafone Idea</t>
        </is>
      </c>
    </row>
    <row r="68">
      <c r="B68" s="71" t="inlineStr">
        <is>
          <t>said 12 where it was 9).</t>
        </is>
      </c>
    </row>
    <row r="69">
      <c r="B69" s="71" t="n"/>
    </row>
    <row r="70">
      <c r="B70" s="71" t="inlineStr">
        <is>
          <t>The divergence on this case is argued in Indus Towers Limited_13 Aug 2026_CRISIL_Rating Rationale.md and the workpaper.</t>
        </is>
      </c>
    </row>
    <row r="71">
      <c r="B71" s="71" t="inlineStr">
        <is>
          <t>The rating decision belongs to the Rating Committee (Step 17c), not to this workbook.</t>
        </is>
      </c>
    </row>
    <row r="72">
      <c r="B72" s="71" t="n"/>
    </row>
    <row r="73">
      <c r="B73" s="71" t="inlineStr">
        <is>
          <t>CONVENTION USED - CRISIL ONLY. This workbook carries no other agency's definitions.</t>
        </is>
      </c>
    </row>
    <row r="74">
      <c r="B74" s="71" t="inlineStr">
        <is>
          <t>Operating-profit measure: EBITDA. PBDIT / EBITDA RETAINS recurring non-operating income rather than stripping it. Gearing uses adjusted total debt over adjusted networth, both adjusted for revaluation reserves, miscellaneous expenditure not written off, and off-balance-sheet items assessed for devolvement.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4" customWidth="1" min="4" max="4"/>
    <col width="14" customWidth="1" min="5" max="5"/>
    <col width="10" customWidth="1" min="6" max="6"/>
    <col width="4" customWidth="1" min="7" max="7"/>
    <col width="16" customWidth="1" min="8" max="8"/>
    <col width="10" customWidth="1" min="9" max="9"/>
    <col width="30" customWidth="1" min="10" max="10"/>
  </cols>
  <sheetData>
    <row r="1">
      <c r="A1" s="1" t="inlineStr">
        <is>
          <t>Reference: scales, mappings, agency conventions</t>
        </is>
      </c>
    </row>
    <row r="3">
      <c r="A3" s="10" t="inlineStr">
        <is>
          <t>17-notch long-term scale (1=AAA)</t>
        </is>
      </c>
      <c r="E3" s="10" t="inlineStr">
        <is>
          <t>Liquidity adjustment</t>
        </is>
      </c>
      <c r="H3" s="10" t="inlineStr">
        <is>
          <t>Agency conventions</t>
        </is>
      </c>
    </row>
    <row r="4">
      <c r="A4" s="15" t="inlineStr">
        <is>
          <t>Grade</t>
        </is>
      </c>
      <c r="B4" s="15" t="inlineStr">
        <is>
          <t>ST (normal)</t>
        </is>
      </c>
      <c r="C4" s="15" t="inlineStr">
        <is>
          <t>ST (Superior/Strong liq)</t>
        </is>
      </c>
      <c r="E4" s="15" t="inlineStr">
        <is>
          <t>Descriptor</t>
        </is>
      </c>
      <c r="F4" s="15" t="inlineStr">
        <is>
          <t>Score adj</t>
        </is>
      </c>
      <c r="H4" s="15" t="inlineStr">
        <is>
          <t>Agency</t>
        </is>
      </c>
      <c r="I4" s="15" t="inlineStr">
        <is>
          <t>EBITDA term</t>
        </is>
      </c>
      <c r="J4" s="15" t="inlineStr">
        <is>
          <t>Rating line style</t>
        </is>
      </c>
    </row>
    <row r="5">
      <c r="A5" s="13" t="inlineStr">
        <is>
          <t>AAA</t>
        </is>
      </c>
      <c r="B5" s="13" t="inlineStr">
        <is>
          <t>A1+</t>
        </is>
      </c>
      <c r="C5" s="13" t="inlineStr">
        <is>
          <t>A1+</t>
        </is>
      </c>
      <c r="E5" s="13" t="inlineStr">
        <is>
          <t>Superior</t>
        </is>
      </c>
      <c r="F5" s="25" t="n">
        <v>-0.25</v>
      </c>
      <c r="H5" s="13" t="n"/>
      <c r="I5" s="13" t="n"/>
      <c r="J5" s="13" t="n"/>
    </row>
    <row r="6">
      <c r="A6" s="13" t="inlineStr">
        <is>
          <t>AA+</t>
        </is>
      </c>
      <c r="B6" s="13" t="inlineStr">
        <is>
          <t>A1+</t>
        </is>
      </c>
      <c r="C6" s="13" t="inlineStr">
        <is>
          <t>A1+</t>
        </is>
      </c>
      <c r="E6" s="13" t="inlineStr">
        <is>
          <t>Strong</t>
        </is>
      </c>
      <c r="F6" s="25" t="n">
        <v>-0.1</v>
      </c>
      <c r="H6" s="13" t="inlineStr">
        <is>
          <t>CRISIL</t>
        </is>
      </c>
      <c r="I6" s="13" t="inlineStr">
        <is>
          <t>EBITDA</t>
        </is>
      </c>
      <c r="J6" s="13" t="inlineStr">
        <is>
          <t>Crisil AA+/Stable / Crisil A1+</t>
        </is>
      </c>
    </row>
    <row r="7">
      <c r="A7" s="13" t="inlineStr">
        <is>
          <t>AA</t>
        </is>
      </c>
      <c r="B7" s="13" t="inlineStr">
        <is>
          <t>A1+</t>
        </is>
      </c>
      <c r="C7" s="13" t="inlineStr">
        <is>
          <t>A1+</t>
        </is>
      </c>
      <c r="E7" s="13" t="inlineStr">
        <is>
          <t>Adequate</t>
        </is>
      </c>
      <c r="F7" s="25" t="n">
        <v>0</v>
      </c>
      <c r="H7" s="13" t="n"/>
      <c r="I7" s="13" t="n"/>
      <c r="J7" s="13" t="n"/>
    </row>
    <row r="8">
      <c r="A8" s="13" t="inlineStr">
        <is>
          <t>AA-</t>
        </is>
      </c>
      <c r="B8" s="13" t="inlineStr">
        <is>
          <t>A1+</t>
        </is>
      </c>
      <c r="C8" s="13" t="inlineStr">
        <is>
          <t>A1+</t>
        </is>
      </c>
      <c r="E8" s="13" t="inlineStr">
        <is>
          <t>Stretched</t>
        </is>
      </c>
      <c r="F8" s="25" t="n">
        <v>0.75</v>
      </c>
    </row>
    <row r="9">
      <c r="A9" s="13" t="inlineStr">
        <is>
          <t>A+</t>
        </is>
      </c>
      <c r="B9" s="13" t="inlineStr">
        <is>
          <t>A1</t>
        </is>
      </c>
      <c r="C9" s="13" t="inlineStr">
        <is>
          <t>A1+</t>
        </is>
      </c>
      <c r="E9" s="13" t="inlineStr">
        <is>
          <t>Poor</t>
        </is>
      </c>
      <c r="F9" s="25" t="n">
        <v>1.5</v>
      </c>
    </row>
    <row r="10">
      <c r="A10" s="13" t="inlineStr">
        <is>
          <t>A</t>
        </is>
      </c>
      <c r="B10" s="13" t="inlineStr">
        <is>
          <t>A2+</t>
        </is>
      </c>
      <c r="C10" s="13" t="inlineStr">
        <is>
          <t>A1</t>
        </is>
      </c>
    </row>
    <row r="11">
      <c r="A11" s="13" t="inlineStr">
        <is>
          <t>A-</t>
        </is>
      </c>
      <c r="B11" s="13" t="inlineStr">
        <is>
          <t>A2+</t>
        </is>
      </c>
      <c r="C11" s="13" t="inlineStr">
        <is>
          <t>A2+</t>
        </is>
      </c>
      <c r="E11" s="10" t="inlineStr">
        <is>
          <t>Outlook options</t>
        </is>
      </c>
    </row>
    <row r="12">
      <c r="A12" s="13" t="inlineStr">
        <is>
          <t>BBB+</t>
        </is>
      </c>
      <c r="B12" s="13" t="inlineStr">
        <is>
          <t>A2</t>
        </is>
      </c>
      <c r="C12" s="13" t="inlineStr">
        <is>
          <t>A2</t>
        </is>
      </c>
      <c r="E12" s="13" t="inlineStr">
        <is>
          <t>Stable</t>
        </is>
      </c>
    </row>
    <row r="13">
      <c r="A13" s="13" t="inlineStr">
        <is>
          <t>BBB</t>
        </is>
      </c>
      <c r="B13" s="13" t="inlineStr">
        <is>
          <t>A3+</t>
        </is>
      </c>
      <c r="C13" s="13" t="inlineStr">
        <is>
          <t>A3+</t>
        </is>
      </c>
      <c r="E13" s="13" t="inlineStr">
        <is>
          <t>Positive</t>
        </is>
      </c>
    </row>
    <row r="14">
      <c r="A14" s="13" t="inlineStr">
        <is>
          <t>BBB-</t>
        </is>
      </c>
      <c r="B14" s="13" t="inlineStr">
        <is>
          <t>A3</t>
        </is>
      </c>
      <c r="C14" s="13" t="inlineStr">
        <is>
          <t>A3</t>
        </is>
      </c>
      <c r="E14" s="13" t="inlineStr">
        <is>
          <t>Negative</t>
        </is>
      </c>
    </row>
    <row r="15">
      <c r="A15" s="13" t="inlineStr">
        <is>
          <t>BB+</t>
        </is>
      </c>
      <c r="B15" s="13" t="inlineStr">
        <is>
          <t>A4+</t>
        </is>
      </c>
      <c r="C15" s="13" t="inlineStr">
        <is>
          <t>A4+</t>
        </is>
      </c>
      <c r="E15" s="13" t="inlineStr">
        <is>
          <t>Not applicable</t>
        </is>
      </c>
    </row>
    <row r="16">
      <c r="A16" s="13" t="inlineStr">
        <is>
          <t>BB</t>
        </is>
      </c>
      <c r="B16" s="13" t="inlineStr">
        <is>
          <t>A4</t>
        </is>
      </c>
      <c r="C16" s="13" t="inlineStr">
        <is>
          <t>A4</t>
        </is>
      </c>
    </row>
    <row r="17">
      <c r="A17" s="13" t="inlineStr">
        <is>
          <t>BB-</t>
        </is>
      </c>
      <c r="B17" s="13" t="inlineStr">
        <is>
          <t>A4</t>
        </is>
      </c>
      <c r="C17" s="13" t="inlineStr">
        <is>
          <t>A4</t>
        </is>
      </c>
    </row>
    <row r="18">
      <c r="A18" s="13" t="inlineStr">
        <is>
          <t>B+</t>
        </is>
      </c>
      <c r="B18" s="13" t="inlineStr">
        <is>
          <t>A4</t>
        </is>
      </c>
      <c r="C18" s="13" t="inlineStr">
        <is>
          <t>A4</t>
        </is>
      </c>
    </row>
    <row r="19">
      <c r="A19" s="13" t="inlineStr">
        <is>
          <t>B</t>
        </is>
      </c>
      <c r="B19" s="13" t="inlineStr">
        <is>
          <t>A4</t>
        </is>
      </c>
      <c r="C19" s="13" t="inlineStr">
        <is>
          <t>A4</t>
        </is>
      </c>
    </row>
    <row r="20">
      <c r="A20" s="13" t="inlineStr">
        <is>
          <t>B-</t>
        </is>
      </c>
      <c r="B20" s="13" t="inlineStr">
        <is>
          <t>A4</t>
        </is>
      </c>
      <c r="C20" s="13" t="inlineStr">
        <is>
          <t>A4</t>
        </is>
      </c>
    </row>
    <row r="21">
      <c r="A21" s="13" t="inlineStr">
        <is>
          <t>C+</t>
        </is>
      </c>
      <c r="B21" s="13" t="inlineStr">
        <is>
          <t>A4</t>
        </is>
      </c>
      <c r="C21" s="13" t="inlineStr">
        <is>
          <t>A4</t>
        </is>
      </c>
    </row>
    <row r="22">
      <c r="A22" t="inlineStr">
        <is>
          <t>C</t>
        </is>
      </c>
      <c r="B22" t="inlineStr">
        <is>
          <t>A4</t>
        </is>
      </c>
      <c r="C22" t="inlineStr">
        <is>
          <t>A4</t>
        </is>
      </c>
    </row>
    <row r="23">
      <c r="A23" s="9" t="inlineStr">
        <is>
          <t>Derived from an empirical corpus of published rationales and back-tested 18-Jul-2026 against 396 rated issuers. This is THIS PROJECT'S calibration and is NOT published by CRISIL.</t>
        </is>
      </c>
      <c r="B23" t="inlineStr">
        <is>
          <t>A4</t>
        </is>
      </c>
      <c r="C23" t="inlineStr">
        <is>
          <t>A4</t>
        </is>
      </c>
    </row>
    <row r="24">
      <c r="A24" t="inlineStr">
        <is>
          <t>D</t>
        </is>
      </c>
      <c r="B24" t="inlineStr">
        <is>
          <t>D</t>
        </is>
      </c>
      <c r="C24" t="inlineStr">
        <is>
          <t>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5" customWidth="1" min="3" max="3"/>
    <col width="18" customWidth="1" min="4" max="4"/>
    <col width="11" customWidth="1" min="5" max="5"/>
    <col width="13" customWidth="1" min="6" max="6"/>
    <col width="8" customWidth="1" min="7" max="7"/>
    <col width="12" customWidth="1" min="8" max="8"/>
  </cols>
  <sheetData>
    <row r="1">
      <c r="A1" s="1" t="inlineStr">
        <is>
          <t>Reference: sector weights and base scores (EDITABLE assumptions)</t>
        </is>
      </c>
    </row>
    <row r="2">
      <c r="A2" s="9" t="inlineStr">
        <is>
          <t>Weights (C:F) must sum to 1 per row. Base score 1 (best) .. 6 (worst) anchors the sector's operating-environment risk. Type = Corporate uses the EBITDA/gearing framework; Bank/NBFC/HFC use the financial-sector framework (capital, asset quality, earnings). Yellow = edit freely.</t>
        </is>
      </c>
    </row>
    <row r="4">
      <c r="A4" s="15" t="inlineStr">
        <is>
          <t>Sector</t>
        </is>
      </c>
      <c r="B4" s="15" t="inlineStr">
        <is>
          <t>Env/Industry base</t>
        </is>
      </c>
      <c r="C4" s="15" t="inlineStr">
        <is>
          <t>w Industry/Env</t>
        </is>
      </c>
      <c r="D4" s="15" t="inlineStr">
        <is>
          <t>w Business/Franchise</t>
        </is>
      </c>
      <c r="E4" s="15" t="inlineStr">
        <is>
          <t>w Financial</t>
        </is>
      </c>
      <c r="F4" s="15" t="inlineStr">
        <is>
          <t>w Management</t>
        </is>
      </c>
      <c r="G4" s="15" t="inlineStr">
        <is>
          <t>Sum</t>
        </is>
      </c>
      <c r="H4" s="15" t="inlineStr">
        <is>
          <t>Type</t>
        </is>
      </c>
    </row>
    <row r="5">
      <c r="A5" s="13" t="inlineStr">
        <is>
          <t>FMCG / Consumer staples</t>
        </is>
      </c>
      <c r="B5" s="43" t="n">
        <v>2</v>
      </c>
      <c r="C5" s="33" t="n">
        <v>0.15</v>
      </c>
      <c r="D5" s="33" t="n">
        <v>0.25</v>
      </c>
      <c r="E5" s="33" t="n">
        <v>0.45</v>
      </c>
      <c r="F5" s="33" t="n">
        <v>0.15</v>
      </c>
      <c r="G5" s="25">
        <f>SUM(C5:F5)</f>
        <v/>
      </c>
      <c r="H5" s="13" t="inlineStr">
        <is>
          <t>Corporate</t>
        </is>
      </c>
    </row>
    <row r="6">
      <c r="A6" s="13" t="inlineStr">
        <is>
          <t>Pharmaceuticals / Healthcare</t>
        </is>
      </c>
      <c r="B6" s="43" t="n">
        <v>2.5</v>
      </c>
      <c r="C6" s="33" t="n">
        <v>0.15</v>
      </c>
      <c r="D6" s="33" t="n">
        <v>0.25</v>
      </c>
      <c r="E6" s="33" t="n">
        <v>0.45</v>
      </c>
      <c r="F6" s="33" t="n">
        <v>0.15</v>
      </c>
      <c r="G6" s="25">
        <f>SUM(C6:F6)</f>
        <v/>
      </c>
      <c r="H6" s="13" t="inlineStr">
        <is>
          <t>Corporate</t>
        </is>
      </c>
    </row>
    <row r="7">
      <c r="A7" s="13" t="inlineStr">
        <is>
          <t>IT / Software &amp; services</t>
        </is>
      </c>
      <c r="B7" s="43" t="n">
        <v>2.5</v>
      </c>
      <c r="C7" s="33" t="n">
        <v>0.15</v>
      </c>
      <c r="D7" s="33" t="n">
        <v>0.25</v>
      </c>
      <c r="E7" s="33" t="n">
        <v>0.4</v>
      </c>
      <c r="F7" s="33" t="n">
        <v>0.2</v>
      </c>
      <c r="G7" s="25">
        <f>SUM(C7:F7)</f>
        <v/>
      </c>
      <c r="H7" s="13" t="inlineStr">
        <is>
          <t>Corporate</t>
        </is>
      </c>
    </row>
    <row r="8">
      <c r="A8" s="13" t="inlineStr">
        <is>
          <t>Auto OEM</t>
        </is>
      </c>
      <c r="B8" s="43" t="n">
        <v>3</v>
      </c>
      <c r="C8" s="33" t="n">
        <v>0.2</v>
      </c>
      <c r="D8" s="33" t="n">
        <v>0.25</v>
      </c>
      <c r="E8" s="33" t="n">
        <v>0.4</v>
      </c>
      <c r="F8" s="33" t="n">
        <v>0.15</v>
      </c>
      <c r="G8" s="25">
        <f>SUM(C8:F8)</f>
        <v/>
      </c>
      <c r="H8" s="13" t="inlineStr">
        <is>
          <t>Corporate</t>
        </is>
      </c>
    </row>
    <row r="9">
      <c r="A9" s="13" t="inlineStr">
        <is>
          <t>Auto components</t>
        </is>
      </c>
      <c r="B9" s="43" t="n">
        <v>3.5</v>
      </c>
      <c r="C9" s="33" t="n">
        <v>0.2</v>
      </c>
      <c r="D9" s="33" t="n">
        <v>0.2</v>
      </c>
      <c r="E9" s="33" t="n">
        <v>0.45</v>
      </c>
      <c r="F9" s="33" t="n">
        <v>0.15</v>
      </c>
      <c r="G9" s="25">
        <f>SUM(C9:F9)</f>
        <v/>
      </c>
      <c r="H9" s="13" t="inlineStr">
        <is>
          <t>Corporate</t>
        </is>
      </c>
    </row>
    <row r="10">
      <c r="A10" s="13" t="inlineStr">
        <is>
          <t>Cement</t>
        </is>
      </c>
      <c r="B10" s="43" t="n">
        <v>3</v>
      </c>
      <c r="C10" s="33" t="n">
        <v>0.2</v>
      </c>
      <c r="D10" s="33" t="n">
        <v>0.2</v>
      </c>
      <c r="E10" s="33" t="n">
        <v>0.45</v>
      </c>
      <c r="F10" s="33" t="n">
        <v>0.15</v>
      </c>
      <c r="G10" s="25">
        <f>SUM(C10:F10)</f>
        <v/>
      </c>
      <c r="H10" s="13" t="inlineStr">
        <is>
          <t>Corporate</t>
        </is>
      </c>
    </row>
    <row r="11">
      <c r="A11" s="13" t="inlineStr">
        <is>
          <t>Iron &amp; Steel / Metals / Mining</t>
        </is>
      </c>
      <c r="B11" s="43" t="n">
        <v>4</v>
      </c>
      <c r="C11" s="33" t="n">
        <v>0.25</v>
      </c>
      <c r="D11" s="33" t="n">
        <v>0.15</v>
      </c>
      <c r="E11" s="33" t="n">
        <v>0.45</v>
      </c>
      <c r="F11" s="33" t="n">
        <v>0.15</v>
      </c>
      <c r="G11" s="25">
        <f>SUM(C11:F11)</f>
        <v/>
      </c>
      <c r="H11" s="13" t="inlineStr">
        <is>
          <t>Corporate</t>
        </is>
      </c>
    </row>
    <row r="12">
      <c r="A12" s="13" t="inlineStr">
        <is>
          <t>Chemicals / Agrochemicals</t>
        </is>
      </c>
      <c r="B12" s="43" t="n">
        <v>3</v>
      </c>
      <c r="C12" s="33" t="n">
        <v>0.2</v>
      </c>
      <c r="D12" s="33" t="n">
        <v>0.2</v>
      </c>
      <c r="E12" s="33" t="n">
        <v>0.45</v>
      </c>
      <c r="F12" s="33" t="n">
        <v>0.15</v>
      </c>
      <c r="G12" s="25">
        <f>SUM(C12:F12)</f>
        <v/>
      </c>
      <c r="H12" s="13" t="inlineStr">
        <is>
          <t>Corporate</t>
        </is>
      </c>
    </row>
    <row r="13">
      <c r="A13" s="13" t="inlineStr">
        <is>
          <t>Oil &amp; Gas / Refining</t>
        </is>
      </c>
      <c r="B13" s="43" t="n">
        <v>3</v>
      </c>
      <c r="C13" s="33" t="n">
        <v>0.2</v>
      </c>
      <c r="D13" s="33" t="n">
        <v>0.2</v>
      </c>
      <c r="E13" s="33" t="n">
        <v>0.45</v>
      </c>
      <c r="F13" s="33" t="n">
        <v>0.15</v>
      </c>
      <c r="G13" s="25">
        <f>SUM(C13:F13)</f>
        <v/>
      </c>
      <c r="H13" s="13" t="inlineStr">
        <is>
          <t>Corporate</t>
        </is>
      </c>
    </row>
    <row r="14">
      <c r="A14" s="13" t="inlineStr">
        <is>
          <t>Textiles</t>
        </is>
      </c>
      <c r="B14" s="43" t="n">
        <v>4</v>
      </c>
      <c r="C14" s="33" t="n">
        <v>0.2</v>
      </c>
      <c r="D14" s="33" t="n">
        <v>0.2</v>
      </c>
      <c r="E14" s="33" t="n">
        <v>0.45</v>
      </c>
      <c r="F14" s="33" t="n">
        <v>0.15</v>
      </c>
      <c r="G14" s="25">
        <f>SUM(C14:F14)</f>
        <v/>
      </c>
      <c r="H14" s="13" t="inlineStr">
        <is>
          <t>Corporate</t>
        </is>
      </c>
    </row>
    <row r="15">
      <c r="A15" s="13" t="inlineStr">
        <is>
          <t>Paper &amp; Packaging</t>
        </is>
      </c>
      <c r="B15" s="43" t="n">
        <v>3.5</v>
      </c>
      <c r="C15" s="33" t="n">
        <v>0.2</v>
      </c>
      <c r="D15" s="33" t="n">
        <v>0.2</v>
      </c>
      <c r="E15" s="33" t="n">
        <v>0.45</v>
      </c>
      <c r="F15" s="33" t="n">
        <v>0.15</v>
      </c>
      <c r="G15" s="25">
        <f>SUM(C15:F15)</f>
        <v/>
      </c>
      <c r="H15" s="13" t="inlineStr">
        <is>
          <t>Corporate</t>
        </is>
      </c>
    </row>
    <row r="16">
      <c r="A16" s="13" t="inlineStr">
        <is>
          <t>Sugar / Agro-processing</t>
        </is>
      </c>
      <c r="B16" s="43" t="n">
        <v>4</v>
      </c>
      <c r="C16" s="33" t="n">
        <v>0.25</v>
      </c>
      <c r="D16" s="33" t="n">
        <v>0.15</v>
      </c>
      <c r="E16" s="33" t="n">
        <v>0.45</v>
      </c>
      <c r="F16" s="33" t="n">
        <v>0.15</v>
      </c>
      <c r="G16" s="25">
        <f>SUM(C16:F16)</f>
        <v/>
      </c>
      <c r="H16" s="13" t="inlineStr">
        <is>
          <t>Corporate</t>
        </is>
      </c>
    </row>
    <row r="17">
      <c r="A17" s="13" t="inlineStr">
        <is>
          <t>Hotels / Hospitality</t>
        </is>
      </c>
      <c r="B17" s="43" t="n">
        <v>3.5</v>
      </c>
      <c r="C17" s="33" t="n">
        <v>0.2</v>
      </c>
      <c r="D17" s="33" t="n">
        <v>0.2</v>
      </c>
      <c r="E17" s="33" t="n">
        <v>0.45</v>
      </c>
      <c r="F17" s="33" t="n">
        <v>0.15</v>
      </c>
      <c r="G17" s="25">
        <f>SUM(C17:F17)</f>
        <v/>
      </c>
      <c r="H17" s="13" t="inlineStr">
        <is>
          <t>Corporate</t>
        </is>
      </c>
    </row>
    <row r="18">
      <c r="A18" s="13" t="inlineStr">
        <is>
          <t>Real Estate / Construction</t>
        </is>
      </c>
      <c r="B18" s="43" t="n">
        <v>4.5</v>
      </c>
      <c r="C18" s="33" t="n">
        <v>0.25</v>
      </c>
      <c r="D18" s="33" t="n">
        <v>0.2</v>
      </c>
      <c r="E18" s="33" t="n">
        <v>0.4</v>
      </c>
      <c r="F18" s="33" t="n">
        <v>0.15</v>
      </c>
      <c r="G18" s="25">
        <f>SUM(C18:F18)</f>
        <v/>
      </c>
      <c r="H18" s="13" t="inlineStr">
        <is>
          <t>Corporate</t>
        </is>
      </c>
    </row>
    <row r="19">
      <c r="A19" s="13" t="inlineStr">
        <is>
          <t>Infrastructure / Power</t>
        </is>
      </c>
      <c r="B19" s="43" t="n">
        <v>3.5</v>
      </c>
      <c r="C19" s="33" t="n">
        <v>0.25</v>
      </c>
      <c r="D19" s="33" t="n">
        <v>0.2</v>
      </c>
      <c r="E19" s="33" t="n">
        <v>0.4</v>
      </c>
      <c r="F19" s="33" t="n">
        <v>0.15</v>
      </c>
      <c r="G19" s="25">
        <f>SUM(C19:F19)</f>
        <v/>
      </c>
      <c r="H19" s="13" t="inlineStr">
        <is>
          <t>Corporate</t>
        </is>
      </c>
    </row>
    <row r="20">
      <c r="A20" s="13" t="inlineStr">
        <is>
          <t>Telecom</t>
        </is>
      </c>
      <c r="B20" s="43" t="n">
        <v>3</v>
      </c>
      <c r="C20" s="33" t="n">
        <v>0.2</v>
      </c>
      <c r="D20" s="33" t="n">
        <v>0.25</v>
      </c>
      <c r="E20" s="33" t="n">
        <v>0.4</v>
      </c>
      <c r="F20" s="33" t="n">
        <v>0.15</v>
      </c>
      <c r="G20" s="25">
        <f>SUM(C20:F20)</f>
        <v/>
      </c>
      <c r="H20" s="13" t="inlineStr">
        <is>
          <t>Corporate</t>
        </is>
      </c>
    </row>
    <row r="21">
      <c r="A21" s="13" t="inlineStr">
        <is>
          <t>Retail / Consumer discretionary</t>
        </is>
      </c>
      <c r="B21" s="43" t="n">
        <v>3</v>
      </c>
      <c r="C21" s="33" t="n">
        <v>0.15</v>
      </c>
      <c r="D21" s="33" t="n">
        <v>0.25</v>
      </c>
      <c r="E21" s="33" t="n">
        <v>0.45</v>
      </c>
      <c r="F21" s="33" t="n">
        <v>0.15</v>
      </c>
      <c r="G21" s="25">
        <f>SUM(C21:F21)</f>
        <v/>
      </c>
      <c r="H21" s="13" t="inlineStr">
        <is>
          <t>Corporate</t>
        </is>
      </c>
    </row>
    <row r="22">
      <c r="A22" s="13" t="inlineStr">
        <is>
          <t>Trading / Distribution</t>
        </is>
      </c>
      <c r="B22" s="43" t="n">
        <v>4</v>
      </c>
      <c r="C22" s="33" t="n">
        <v>0.2</v>
      </c>
      <c r="D22" s="33" t="n">
        <v>0.2</v>
      </c>
      <c r="E22" s="33" t="n">
        <v>0.45</v>
      </c>
      <c r="F22" s="33" t="n">
        <v>0.15</v>
      </c>
      <c r="G22" s="25">
        <f>SUM(C22:F22)</f>
        <v/>
      </c>
      <c r="H22" s="13" t="inlineStr">
        <is>
          <t>Corporate</t>
        </is>
      </c>
    </row>
    <row r="23">
      <c r="A23" s="13" t="inlineStr">
        <is>
          <t>Generic corporate</t>
        </is>
      </c>
      <c r="B23" s="43" t="n">
        <v>3</v>
      </c>
      <c r="C23" s="33" t="n">
        <v>0.2</v>
      </c>
      <c r="D23" s="33" t="n">
        <v>0.2</v>
      </c>
      <c r="E23" s="33" t="n">
        <v>0.45</v>
      </c>
      <c r="F23" s="33" t="n">
        <v>0.15</v>
      </c>
      <c r="G23" s="25">
        <f>SUM(C23:F23)</f>
        <v/>
      </c>
      <c r="H23" s="13" t="inlineStr">
        <is>
          <t>Corporate</t>
        </is>
      </c>
    </row>
    <row r="24">
      <c r="A24" s="13" t="inlineStr">
        <is>
          <t>Bank / SFB</t>
        </is>
      </c>
      <c r="B24" s="43" t="n">
        <v>2</v>
      </c>
      <c r="C24" s="33" t="n">
        <v>0.15</v>
      </c>
      <c r="D24" s="33" t="n">
        <v>0.25</v>
      </c>
      <c r="E24" s="33" t="n">
        <v>0.45</v>
      </c>
      <c r="F24" s="33" t="n">
        <v>0.15</v>
      </c>
      <c r="G24" s="25">
        <f>SUM(C24:F24)</f>
        <v/>
      </c>
      <c r="H24" s="13" t="inlineStr">
        <is>
          <t>Bank</t>
        </is>
      </c>
    </row>
    <row r="25">
      <c r="A25" s="13" t="inlineStr">
        <is>
          <t>NBFC</t>
        </is>
      </c>
      <c r="B25" s="43" t="n">
        <v>3</v>
      </c>
      <c r="C25" s="33" t="n">
        <v>0.15</v>
      </c>
      <c r="D25" s="33" t="n">
        <v>0.25</v>
      </c>
      <c r="E25" s="33" t="n">
        <v>0.45</v>
      </c>
      <c r="F25" s="33" t="n">
        <v>0.15</v>
      </c>
      <c r="G25" s="25">
        <f>SUM(C25:F25)</f>
        <v/>
      </c>
      <c r="H25" s="13" t="inlineStr">
        <is>
          <t>NBFC</t>
        </is>
      </c>
    </row>
    <row r="26">
      <c r="A26" s="13" t="inlineStr">
        <is>
          <t>Housing Finance Co (HFC)</t>
        </is>
      </c>
      <c r="B26" s="43" t="n">
        <v>2.5</v>
      </c>
      <c r="C26" s="33" t="n">
        <v>0.15</v>
      </c>
      <c r="D26" s="33" t="n">
        <v>0.25</v>
      </c>
      <c r="E26" s="33" t="n">
        <v>0.45</v>
      </c>
      <c r="F26" s="33" t="n">
        <v>0.15</v>
      </c>
      <c r="G26" s="25">
        <f>SUM(C26:F26)</f>
        <v/>
      </c>
      <c r="H26" s="13" t="inlineStr">
        <is>
          <t>HFC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</cols>
  <sheetData>
    <row r="1">
      <c r="A1" s="1" t="inlineStr">
        <is>
          <t>Reference: financial-risk threshold bands (score 1 strongest .. 6 weakest)</t>
        </is>
      </c>
    </row>
    <row r="2">
      <c r="A2" s="9" t="inlineStr">
        <is>
          <t>This project's OWN calibration - illustrative benchmark ranges, NOT published by CRISIL. See Scorecard_Backtest_Report_18Jul2026.md.</t>
        </is>
      </c>
    </row>
    <row r="4">
      <c r="A4" s="15" t="inlineStr">
        <is>
          <t>Metric</t>
        </is>
      </c>
      <c r="B4" s="15" t="inlineStr">
        <is>
          <t>Direction</t>
        </is>
      </c>
      <c r="C4" s="15" t="inlineStr">
        <is>
          <t>t1</t>
        </is>
      </c>
      <c r="D4" s="15" t="inlineStr">
        <is>
          <t>t2</t>
        </is>
      </c>
      <c r="E4" s="15" t="inlineStr">
        <is>
          <t>t3</t>
        </is>
      </c>
      <c r="F4" s="15" t="inlineStr">
        <is>
          <t>t4</t>
        </is>
      </c>
      <c r="G4" s="15" t="inlineStr">
        <is>
          <t>t5</t>
        </is>
      </c>
      <c r="H4" s="15" t="inlineStr">
        <is>
          <t>Weight</t>
        </is>
      </c>
    </row>
    <row r="5">
      <c r="A5" s="13" t="inlineStr">
        <is>
          <t>Interest coverage (x)</t>
        </is>
      </c>
      <c r="B5" s="13" t="inlineStr">
        <is>
          <t>higher</t>
        </is>
      </c>
      <c r="C5" s="33" t="n">
        <v>1.5</v>
      </c>
      <c r="D5" s="33" t="n">
        <v>2.5</v>
      </c>
      <c r="E5" s="33" t="n">
        <v>3.5</v>
      </c>
      <c r="F5" s="33" t="n">
        <v>5</v>
      </c>
      <c r="G5" s="33" t="n">
        <v>8</v>
      </c>
      <c r="H5" s="33" t="n">
        <v>0.25</v>
      </c>
    </row>
    <row r="6">
      <c r="A6" s="13" t="inlineStr">
        <is>
          <t>Gearing - Total debt/TNW (x)</t>
        </is>
      </c>
      <c r="B6" s="13" t="inlineStr">
        <is>
          <t>lower</t>
        </is>
      </c>
      <c r="C6" s="33" t="n">
        <v>0.5</v>
      </c>
      <c r="D6" s="33" t="n">
        <v>1</v>
      </c>
      <c r="E6" s="33" t="n">
        <v>1.5</v>
      </c>
      <c r="F6" s="33" t="n">
        <v>2</v>
      </c>
      <c r="G6" s="33" t="n">
        <v>3</v>
      </c>
      <c r="H6" s="33" t="n">
        <v>0.2</v>
      </c>
    </row>
    <row r="7">
      <c r="A7" s="13" t="inlineStr">
        <is>
          <t>Total debt/EBITDA (x)</t>
        </is>
      </c>
      <c r="B7" s="13" t="inlineStr">
        <is>
          <t>lower</t>
        </is>
      </c>
      <c r="C7" s="33" t="n">
        <v>1.5</v>
      </c>
      <c r="D7" s="33" t="n">
        <v>2.5</v>
      </c>
      <c r="E7" s="33" t="n">
        <v>3.5</v>
      </c>
      <c r="F7" s="33" t="n">
        <v>4.5</v>
      </c>
      <c r="G7" s="33" t="n">
        <v>6</v>
      </c>
      <c r="H7" s="33" t="n">
        <v>0.2</v>
      </c>
    </row>
    <row r="8">
      <c r="A8" s="13" t="inlineStr">
        <is>
          <t>EBITDA margin (%)</t>
        </is>
      </c>
      <c r="B8" s="13" t="inlineStr">
        <is>
          <t>higher</t>
        </is>
      </c>
      <c r="C8" s="33" t="n">
        <v>0.04</v>
      </c>
      <c r="D8" s="33" t="n">
        <v>0.08</v>
      </c>
      <c r="E8" s="33" t="n">
        <v>0.12</v>
      </c>
      <c r="F8" s="33" t="n">
        <v>0.18</v>
      </c>
      <c r="G8" s="33" t="n">
        <v>0.25</v>
      </c>
      <c r="H8" s="33" t="n">
        <v>0.15</v>
      </c>
    </row>
    <row r="9">
      <c r="A9" s="13" t="inlineStr">
        <is>
          <t>Gross cash accruals/Total debt (x)</t>
        </is>
      </c>
      <c r="B9" s="13" t="inlineStr">
        <is>
          <t>higher</t>
        </is>
      </c>
      <c r="C9" s="33" t="n">
        <v>0.06</v>
      </c>
      <c r="D9" s="33" t="n">
        <v>0.12</v>
      </c>
      <c r="E9" s="33" t="n">
        <v>0.18</v>
      </c>
      <c r="F9" s="33" t="n">
        <v>0.25</v>
      </c>
      <c r="G9" s="33" t="n">
        <v>0.35</v>
      </c>
      <c r="H9" s="33" t="n">
        <v>0.12</v>
      </c>
    </row>
    <row r="10">
      <c r="A10" s="13" t="inlineStr">
        <is>
          <t>Current ratio (x)</t>
        </is>
      </c>
      <c r="B10" s="13" t="inlineStr">
        <is>
          <t>higher</t>
        </is>
      </c>
      <c r="C10" s="33" t="n">
        <v>0.9</v>
      </c>
      <c r="D10" s="33" t="n">
        <v>1.05</v>
      </c>
      <c r="E10" s="33" t="n">
        <v>1.2</v>
      </c>
      <c r="F10" s="33" t="n">
        <v>1.33</v>
      </c>
      <c r="G10" s="33" t="n">
        <v>1.5</v>
      </c>
      <c r="H10" s="33" t="n">
        <v>0.08</v>
      </c>
    </row>
    <row r="12">
      <c r="A12" s="9" t="inlineStr">
        <is>
          <t>EBITDA margin thresholds stored as fractions (0.25 = 25%) to match the Ratios sheet.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</cols>
  <sheetData>
    <row r="1">
      <c r="A1" s="1" t="inlineStr">
        <is>
          <t>Reference: FINANCIAL-sector threshold bands (banks / NBFCs / HFCs) - score 1 strongest .. 6 weakest</t>
        </is>
      </c>
    </row>
    <row r="2">
      <c r="A2" s="9" t="inlineStr">
        <is>
          <t>This project's OWN calibration - illustrative benchmark ranges, NOT published by CRISIL. See Scorecard_Backtest_Report_18Jul2026.md.</t>
        </is>
      </c>
    </row>
    <row r="4">
      <c r="A4" s="15" t="inlineStr">
        <is>
          <t>Metric</t>
        </is>
      </c>
      <c r="B4" s="15" t="inlineStr">
        <is>
          <t>Direction</t>
        </is>
      </c>
      <c r="C4" s="15" t="inlineStr">
        <is>
          <t>t1</t>
        </is>
      </c>
      <c r="D4" s="15" t="inlineStr">
        <is>
          <t>t2</t>
        </is>
      </c>
      <c r="E4" s="15" t="inlineStr">
        <is>
          <t>t3</t>
        </is>
      </c>
      <c r="F4" s="15" t="inlineStr">
        <is>
          <t>t4</t>
        </is>
      </c>
      <c r="G4" s="15" t="inlineStr">
        <is>
          <t>t5</t>
        </is>
      </c>
      <c r="H4" s="15" t="inlineStr">
        <is>
          <t>Weight</t>
        </is>
      </c>
    </row>
    <row r="5">
      <c r="A5" s="13" t="inlineStr">
        <is>
          <t>Capital adequacy - CRAR (%)</t>
        </is>
      </c>
      <c r="B5" s="13" t="inlineStr">
        <is>
          <t>higher</t>
        </is>
      </c>
      <c r="C5" s="44" t="n">
        <v>0.11</v>
      </c>
      <c r="D5" s="44" t="n">
        <v>0.13</v>
      </c>
      <c r="E5" s="44" t="n">
        <v>0.15</v>
      </c>
      <c r="F5" s="44" t="n">
        <v>0.17</v>
      </c>
      <c r="G5" s="44" t="n">
        <v>0.19</v>
      </c>
      <c r="H5" s="33" t="n">
        <v>0.22</v>
      </c>
    </row>
    <row r="6">
      <c r="A6" s="13" t="inlineStr">
        <is>
          <t>Gross NPA (%)</t>
        </is>
      </c>
      <c r="B6" s="13" t="inlineStr">
        <is>
          <t>lower</t>
        </is>
      </c>
      <c r="C6" s="44" t="n">
        <v>0.01</v>
      </c>
      <c r="D6" s="44" t="n">
        <v>0.02</v>
      </c>
      <c r="E6" s="44" t="n">
        <v>0.03</v>
      </c>
      <c r="F6" s="44" t="n">
        <v>0.05</v>
      </c>
      <c r="G6" s="44" t="n">
        <v>0.08</v>
      </c>
      <c r="H6" s="33" t="n">
        <v>0.18</v>
      </c>
    </row>
    <row r="7">
      <c r="A7" s="13" t="inlineStr">
        <is>
          <t>Net NPA (%)</t>
        </is>
      </c>
      <c r="B7" s="13" t="inlineStr">
        <is>
          <t>lower</t>
        </is>
      </c>
      <c r="C7" s="44" t="n">
        <v>0.003</v>
      </c>
      <c r="D7" s="44" t="n">
        <v>0.007</v>
      </c>
      <c r="E7" s="44" t="n">
        <v>0.012</v>
      </c>
      <c r="F7" s="44" t="n">
        <v>0.02</v>
      </c>
      <c r="G7" s="44" t="n">
        <v>0.03</v>
      </c>
      <c r="H7" s="33" t="n">
        <v>0.15</v>
      </c>
    </row>
    <row r="8">
      <c r="A8" s="13" t="inlineStr">
        <is>
          <t>Return on assets - RoA (%)</t>
        </is>
      </c>
      <c r="B8" s="13" t="inlineStr">
        <is>
          <t>higher</t>
        </is>
      </c>
      <c r="C8" s="44" t="n">
        <v>0.005</v>
      </c>
      <c r="D8" s="44" t="n">
        <v>0.008999999999999999</v>
      </c>
      <c r="E8" s="44" t="n">
        <v>0.013</v>
      </c>
      <c r="F8" s="44" t="n">
        <v>0.017</v>
      </c>
      <c r="G8" s="44" t="n">
        <v>0.021</v>
      </c>
      <c r="H8" s="33" t="n">
        <v>0.2</v>
      </c>
    </row>
    <row r="9">
      <c r="A9" s="13" t="inlineStr">
        <is>
          <t>Net interest margin - NIM (%)</t>
        </is>
      </c>
      <c r="B9" s="13" t="inlineStr">
        <is>
          <t>higher</t>
        </is>
      </c>
      <c r="C9" s="44" t="n">
        <v>0.02</v>
      </c>
      <c r="D9" s="44" t="n">
        <v>0.027</v>
      </c>
      <c r="E9" s="44" t="n">
        <v>0.033</v>
      </c>
      <c r="F9" s="44" t="n">
        <v>0.04</v>
      </c>
      <c r="G9" s="44" t="n">
        <v>0.05</v>
      </c>
      <c r="H9" s="33" t="n">
        <v>0.13</v>
      </c>
    </row>
    <row r="10">
      <c r="A10" s="13" t="inlineStr">
        <is>
          <t>Cost-to-income (%)</t>
        </is>
      </c>
      <c r="B10" s="13" t="inlineStr">
        <is>
          <t>lower</t>
        </is>
      </c>
      <c r="C10" s="44" t="n">
        <v>0.4</v>
      </c>
      <c r="D10" s="44" t="n">
        <v>0.45</v>
      </c>
      <c r="E10" s="44" t="n">
        <v>0.5</v>
      </c>
      <c r="F10" s="44" t="n">
        <v>0.58</v>
      </c>
      <c r="G10" s="44" t="n">
        <v>0.68</v>
      </c>
      <c r="H10" s="33" t="n">
        <v>0.12</v>
      </c>
    </row>
    <row r="12">
      <c r="A12" s="9" t="inlineStr">
        <is>
          <t>For NBFCs/HFCs, CRAR captures leverage (higher CRAR = lower gearing). NIM for NBFCs = net interest spread. Cost-to-income applies to all.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E13"/>
  <sheetViews>
    <sheetView workbookViewId="0">
      <selection activeCell="A1" sqref="A1"/>
    </sheetView>
  </sheetViews>
  <sheetFormatPr baseColWidth="8" defaultRowHeight="15"/>
  <cols>
    <col width="10" customWidth="1" min="2" max="2"/>
    <col width="46" customWidth="1" min="3" max="3"/>
    <col width="46" customWidth="1" min="4" max="4"/>
    <col width="46" customWidth="1" min="5" max="5"/>
  </cols>
  <sheetData>
    <row r="2">
      <c r="B2" s="47" t="inlineStr">
        <is>
          <t>Qualitative scoring rubric (1 = strongest ... 6 = weakest)</t>
        </is>
      </c>
    </row>
    <row r="3">
      <c r="B3" s="46" t="inlineStr">
        <is>
          <t>Anchors the Industry, Business and Management scores so two operators score alike. Lifted from CRISIL's three risk profiles - market position is the ability to sell PROFITABLY and control price; risk appetite is explicit. Pick the row whose description best fits; justify the pick in one line in the report.</t>
        </is>
      </c>
    </row>
    <row r="5">
      <c r="B5" s="48" t="inlineStr">
        <is>
          <t>Score</t>
        </is>
      </c>
      <c r="C5" s="48" t="inlineStr">
        <is>
          <t>Industry / operating-environment risk</t>
        </is>
      </c>
      <c r="D5" s="48" t="inlineStr">
        <is>
          <t>Business risk / market position</t>
        </is>
      </c>
      <c r="E5" s="48" t="inlineStr">
        <is>
          <t>Management &amp; governance</t>
        </is>
      </c>
    </row>
    <row r="6">
      <c r="B6" s="46" t="n">
        <v>1</v>
      </c>
      <c r="C6" s="46" t="inlineStr">
        <is>
          <t>Stable, non-cyclical, high entry barriers; strong structural pricing power (regulated utility / dominant-franchise economics).</t>
        </is>
      </c>
      <c r="D6" s="46" t="inlineStr">
        <is>
          <t>Dominant leadership with pricing power; broad segment/geographic/customer diversification; sustained through cycles.</t>
        </is>
      </c>
      <c r="E6" s="46" t="inlineStr">
        <is>
          <t>Exceptional track record; conservative, consistent financial policy; strong board independence &amp; disclosure; no RPT/governance flags.</t>
        </is>
      </c>
    </row>
    <row r="7">
      <c r="B7" s="46" t="n">
        <v>2</v>
      </c>
      <c r="C7" s="46" t="inlineStr">
        <is>
          <t>Favourable growth, moderate cyclicality, limited competition; generally able to pass through input costs.</t>
        </is>
      </c>
      <c r="D7" s="46" t="inlineStr">
        <is>
          <t>Strong market position (top-tier share); good diversification; able to pass on most cost increases.</t>
        </is>
      </c>
      <c r="E7" s="46" t="inlineStr">
        <is>
          <t>Strong track record; prudent financial policy; sound governance; minor, well-managed group linkages.</t>
        </is>
      </c>
    </row>
    <row r="8">
      <c r="B8" s="46" t="n">
        <v>3</v>
      </c>
      <c r="C8" s="46" t="inlineStr">
        <is>
          <t>Moderate growth and competition; some cyclicality; partial cost pass-through.</t>
        </is>
      </c>
      <c r="D8" s="46" t="inlineStr">
        <is>
          <t>Established mid-tier position; some concentration; average pricing power.</t>
        </is>
      </c>
      <c r="E8" s="46" t="inlineStr">
        <is>
          <t>Adequate track record and policy; governance broadly adequate; some moderate financial-policy or group-support demands.</t>
        </is>
      </c>
    </row>
    <row r="9">
      <c r="B9" s="46" t="n">
        <v>4</v>
      </c>
      <c r="C9" s="46" t="inlineStr">
        <is>
          <t>Cyclical and competitive; margins sensitive to the cycle; price-taker in part (import-parity exposure).</t>
        </is>
      </c>
      <c r="D9" s="46" t="inlineStr">
        <is>
          <t>Modest share or meaningful segment/customer concentration; weak pricing power in downturns.</t>
        </is>
      </c>
      <c r="E9" s="46" t="inlineStr">
        <is>
          <t>Aggressive financial policy or capex appetite larger than existing scale; moderate governance gaps.</t>
        </is>
      </c>
    </row>
    <row r="10">
      <c r="B10" s="46" t="n">
        <v>5</v>
      </c>
      <c r="C10" s="46" t="inlineStr">
        <is>
          <t>Highly cyclical / fragmented / structurally competitive; largely a price-taker to landed import cost.</t>
        </is>
      </c>
      <c r="D10" s="46" t="inlineStr">
        <is>
          <t>Weak position; high concentration; margins compress sharply in a downturn.</t>
        </is>
      </c>
      <c r="E10" s="46" t="inlineStr">
        <is>
          <t>Weak governance or promoter-pledge/related-party concerns; track record of aggressive leverage.</t>
        </is>
      </c>
    </row>
    <row r="11">
      <c r="B11" s="46" t="n">
        <v>6</v>
      </c>
      <c r="C11" s="46" t="inlineStr">
        <is>
          <t>Structurally stressed or declining industry; adverse regulation; persistent overcapacity.</t>
        </is>
      </c>
      <c r="D11" s="46" t="inlineStr">
        <is>
          <t>Marginal, uncompetitive position; no pricing power.</t>
        </is>
      </c>
      <c r="E11" s="46" t="inlineStr">
        <is>
          <t>Serious governance failures, going-concern/financial-policy concerns, or a poor debt-servicing record.</t>
        </is>
      </c>
    </row>
    <row r="13">
      <c r="B13" s="46" t="inlineStr">
        <is>
          <t>Note: Industry can be left blank on Inputs to accept the sector base score in Ref_Weights; enter 1-6 here-style to override. Business and Management are always entered from this rubric.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2026-07-12T03:16:17Z</dcterms:created>
  <dcterms:modified xmlns:dcterms="http://purl.org/dc/terms/" xmlns:xsi="http://www.w3.org/2001/XMLSchema-instance" xsi:type="dcterms:W3CDTF">2026-09-19T16:42:29Z</dcterms:modified>
</cp:coreProperties>
</file>