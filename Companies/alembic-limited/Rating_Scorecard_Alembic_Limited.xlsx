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 xmlns:r="http://schemas.openxmlformats.org/officeDocument/2006/relationships" name="Ref_Qualitative" sheetId="11" state="visible" r:id="rId11"/>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2">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sz val="12"/>
    </font>
    <font>
      <b val="1"/>
    </font>
    <font>
      <b val="1"/>
      <color rgb="00FFFFFF"/>
    </font>
    <font>
      <b val="1"/>
      <color rgb="001B2A4A"/>
    </font>
    <font>
      <b val="1"/>
      <color rgb="00FFFFFF"/>
      <sz val="11"/>
    </font>
    <font>
      <b val="1"/>
      <color rgb="001B2A4A"/>
      <sz val="16"/>
    </font>
    <font>
      <b val="1"/>
      <color rgb="001B2A4A"/>
      <sz val="12"/>
    </font>
    <font>
      <i val="1"/>
      <color rgb="006B7891"/>
      <sz val="9"/>
    </font>
    <font>
      <sz val="10"/>
    </font>
    <font>
      <b val="1"/>
      <color rgb="001B2A4A"/>
      <sz val="10"/>
    </font>
    <font>
      <i val="1"/>
      <color rgb="00555555"/>
      <sz val="9"/>
    </font>
    <font>
      <name val="Calibri"/>
      <family val="2"/>
      <b val="1"/>
      <color theme="1"/>
      <sz val="11"/>
      <scheme val="minor"/>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1"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2" borderId="0" pivotButton="0" quotePrefix="0" xfId="0"/>
    <xf numFmtId="0" fontId="13" fillId="0" borderId="0" pivotButton="0" quotePrefix="0" xfId="0"/>
    <xf numFmtId="0" fontId="0" fillId="5" borderId="0" pivotButton="0" quotePrefix="0" xfId="0"/>
    <xf numFmtId="0" fontId="14" fillId="6" borderId="0" pivotButton="0" quotePrefix="0" xfId="0"/>
    <xf numFmtId="0" fontId="15" fillId="0" borderId="0" pivotButton="0" quotePrefix="0" xfId="0"/>
    <xf numFmtId="0" fontId="16" fillId="0" borderId="0" pivotButton="0" quotePrefix="0" xfId="0"/>
    <xf numFmtId="0" fontId="13" fillId="0" borderId="1" pivotButton="0" quotePrefix="0" xfId="0"/>
    <xf numFmtId="0" fontId="17" fillId="0" borderId="1" applyAlignment="1" pivotButton="0" quotePrefix="0" xfId="0">
      <alignment vertical="top" wrapText="1"/>
    </xf>
    <xf numFmtId="0" fontId="14" fillId="2" borderId="1" pivotButton="0" quotePrefix="0" xfId="0"/>
    <xf numFmtId="0" fontId="17" fillId="0" borderId="0" pivotButton="0" quotePrefix="0" xfId="0"/>
    <xf numFmtId="0" fontId="17" fillId="0" borderId="0" applyAlignment="1" pivotButton="0" quotePrefix="0" xfId="0">
      <alignment vertical="top" wrapText="1"/>
    </xf>
    <xf numFmtId="0" fontId="17" fillId="4" borderId="1" pivotButton="0" quotePrefix="0" xfId="0"/>
    <xf numFmtId="0" fontId="14"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13" fillId="0" borderId="1" pivotButton="0" quotePrefix="0" xfId="0"/>
    <xf numFmtId="0" fontId="14" fillId="6" borderId="1" pivotButton="0" quotePrefix="0" xfId="0"/>
    <xf numFmtId="166" fontId="8" fillId="0" borderId="1" applyAlignment="1" pivotButton="0" quotePrefix="0" xfId="0">
      <alignment vertical="top" wrapText="1"/>
    </xf>
    <xf numFmtId="0" fontId="16" fillId="5" borderId="0" applyAlignment="1" pivotButton="0" quotePrefix="0" xfId="0">
      <alignment vertical="top"/>
    </xf>
    <xf numFmtId="0" fontId="18" fillId="0" borderId="0" applyAlignment="1" pivotButton="0" quotePrefix="0" xfId="0">
      <alignment vertical="top"/>
    </xf>
    <xf numFmtId="0" fontId="19" fillId="0" borderId="0" pivotButton="0" quotePrefix="0" xfId="0"/>
    <xf numFmtId="0" fontId="20" fillId="0" borderId="0" applyAlignment="1" pivotButton="0" quotePrefix="0" xfId="0">
      <alignment vertical="top"/>
    </xf>
    <xf numFmtId="0" fontId="2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backtest</author>
  </authors>
  <commentList>
    <comment ref="C42" authorId="0" shapeId="0">
      <text>
        <t>Back-test: MUST be non-zero for PSU/sovereign or strong-parent strategic issuers - the neutral scorecard under-rates them by 2-3 notches otherwise.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ICRA</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ICRA/ICRA/ICRA published criteria. Calibrate against the methodology files before relying on output (e.g. ICRA FMCG indicative bands: TOL/TNW &lt;=0.9x strongest, Total debt/OPBDIT &lt;=0.5x strongest).</t>
        </is>
      </c>
    </row>
    <row r="19" ht="30" customHeight="1">
      <c r="B19" s="4" t="inlineStr">
        <is>
          <t>- Sector weights and industry base scores (Ref_Weights): analyst assumptions reflecting each agency's framework (ICRA: industry risk sets the sector median; ICRA blocks A-E; ICRA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ICRA.</t>
        </is>
      </c>
    </row>
    <row r="21" ht="30" customHeight="1">
      <c r="B21" s="4" t="inlineStr">
        <is>
          <t>Derived from an empirical corpus of published rationales and back-tested 18-Jul-2026 against 396 rated issuers. This is THIS PROJECT'S calibration and is NOT published by ICRA.</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row r="27">
      <c r="B27" s="45" t="inlineStr">
        <is>
          <t>Support notches - MANDATORY where support drives the rating (back-test finding, 18-Jul-2026)</t>
        </is>
      </c>
    </row>
    <row r="28">
      <c r="B28" s="46" t="inlineStr">
        <is>
          <t>The neutral scorecard structurally UNDER-rates support-driven names (PSU/sovereign-owned, strong-parent strategic subsidiaries) and OVER-rates governance/default-stressed names. Apply the parent/group/government notch on Inputs per the agency criteria BEFORE comparing to the analyst view: e.g. majority-government-owned strategic entity +2/+3; strong-parent strategic subsidiary +1/+2; weak parent / cash drain -1/-2. Leaving it at 0 for a support-driven issuer is the single commonest cause of a low anchor (JSW, IIFL).</t>
        </is>
      </c>
    </row>
    <row r="29">
      <c r="B29" s="46" t="inlineStr">
        <is>
          <t>Derived from an empirical corpus of published rationales and back-tested 18-Jul-2026 against 396 rated issuers. This is THIS PROJECT'S calibration and is NOT published by ICRA.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50" customWidth="1" min="6" max="6"/>
  </cols>
  <sheetData>
    <row r="2">
      <c r="B2" s="1" t="inlineStr">
        <is>
          <t>Inputs - fill every yellow cell</t>
        </is>
      </c>
    </row>
    <row r="4">
      <c r="B4" s="5" t="inlineStr">
        <is>
          <t>Issuer name</t>
        </is>
      </c>
      <c r="C4" s="6" t="inlineStr">
        <is>
          <t>Alembic Limited</t>
        </is>
      </c>
      <c r="D4" s="7" t="n"/>
      <c r="E4" s="8" t="n"/>
      <c r="F4" s="9" t="inlineStr">
        <is>
          <t>Example values pre-filled throughout - replace with your issuer's audited figures.</t>
        </is>
      </c>
    </row>
    <row r="5">
      <c r="B5" s="5" t="inlineStr">
        <is>
          <t>Rating agency</t>
        </is>
      </c>
      <c r="C5" s="6" t="inlineStr">
        <is>
          <t>ICRA</t>
        </is>
      </c>
    </row>
    <row r="6">
      <c r="B6" s="5" t="inlineStr">
        <is>
          <t>Sector</t>
        </is>
      </c>
      <c r="C6" s="6" t="inlineStr">
        <is>
          <t>Real Estate / Construction</t>
        </is>
      </c>
      <c r="D6" s="7" t="n"/>
      <c r="E6" s="8" t="n"/>
    </row>
    <row r="7">
      <c r="B7" s="5" t="inlineStr">
        <is>
          <t>Rating date</t>
        </is>
      </c>
      <c r="C7" s="6" t="inlineStr">
        <is>
          <t>31-Aug-2026</t>
        </is>
      </c>
    </row>
    <row r="10">
      <c r="B10" s="10" t="inlineStr">
        <is>
          <t>Historical financials (Rs crore, audited)</t>
        </is>
      </c>
    </row>
    <row r="11">
      <c r="B11" s="11" t="inlineStr">
        <is>
          <t>Line item</t>
        </is>
      </c>
      <c r="C11" s="12" t="inlineStr">
        <is>
          <t>FY2024</t>
        </is>
      </c>
      <c r="D11" s="12" t="inlineStr">
        <is>
          <t>FY2025</t>
        </is>
      </c>
      <c r="E11" s="12" t="inlineStr">
        <is>
          <t>FY2026</t>
        </is>
      </c>
    </row>
    <row r="12">
      <c r="B12" s="13" t="inlineStr">
        <is>
          <t>Total operating income</t>
        </is>
      </c>
      <c r="C12" s="35" t="n">
        <v>152.25</v>
      </c>
      <c r="D12" s="35" t="n">
        <v>214.36</v>
      </c>
      <c r="E12" s="35" t="n">
        <v>231.93</v>
      </c>
    </row>
    <row r="13">
      <c r="B13" s="13" t="inlineStr">
        <is>
          <t>EBITDA (OPBDIT / PBILDT)</t>
        </is>
      </c>
      <c r="C13" s="35" t="n">
        <v>56.25</v>
      </c>
      <c r="D13" s="35" t="n">
        <v>89.55</v>
      </c>
      <c r="E13" s="35" t="n">
        <v>87.69</v>
      </c>
    </row>
    <row r="14">
      <c r="B14" s="13" t="inlineStr">
        <is>
          <t>Depreciation &amp; amortisation</t>
        </is>
      </c>
      <c r="C14" s="35" t="n">
        <v>7.46</v>
      </c>
      <c r="D14" s="35" t="n">
        <v>10.24</v>
      </c>
      <c r="E14" s="35" t="n">
        <v>12.01</v>
      </c>
    </row>
    <row r="15">
      <c r="B15" s="13" t="inlineStr">
        <is>
          <t>Interest expense</t>
        </is>
      </c>
      <c r="C15" s="35" t="n">
        <v>0.6899999999999999</v>
      </c>
      <c r="D15" s="35" t="n">
        <v>1.83</v>
      </c>
      <c r="E15" s="35" t="n">
        <v>1.57</v>
      </c>
    </row>
    <row r="16">
      <c r="B16" s="13" t="inlineStr">
        <is>
          <t>Profit after tax (PAT)</t>
        </is>
      </c>
      <c r="C16" s="35" t="n">
        <v>92.89</v>
      </c>
      <c r="D16" s="35" t="n">
        <v>141.95</v>
      </c>
      <c r="E16" s="35" t="n">
        <v>124.54</v>
      </c>
    </row>
    <row r="17">
      <c r="B17" s="13" t="inlineStr">
        <is>
          <t>Total debt (incl. lease liabilities)</t>
        </is>
      </c>
      <c r="C17" s="35" t="n">
        <v>9.15</v>
      </c>
      <c r="D17" s="35" t="n">
        <v>14.45</v>
      </c>
      <c r="E17" s="35" t="n">
        <v>10.64</v>
      </c>
    </row>
    <row r="18">
      <c r="B18" s="13" t="inlineStr">
        <is>
          <t>Cash &amp; liquid investments</t>
        </is>
      </c>
      <c r="C18" s="35" t="n">
        <v>11.85</v>
      </c>
      <c r="D18" s="35" t="n">
        <v>52.09</v>
      </c>
      <c r="E18" s="35" t="n">
        <v>90.15000000000001</v>
      </c>
    </row>
    <row r="19">
      <c r="B19" s="13" t="inlineStr">
        <is>
          <t>Tangible net worth</t>
        </is>
      </c>
      <c r="C19" s="35" t="n">
        <v>808.76</v>
      </c>
      <c r="D19" s="35" t="n">
        <v>853.1900000000001</v>
      </c>
      <c r="E19" s="35" t="n">
        <v>821.46</v>
      </c>
    </row>
    <row r="20">
      <c r="B20" s="13" t="inlineStr">
        <is>
          <t>Total outside liabilities</t>
        </is>
      </c>
      <c r="C20" s="35" t="n">
        <v>137.11</v>
      </c>
      <c r="D20" s="35" t="n">
        <v>156.64</v>
      </c>
      <c r="E20" s="35" t="n">
        <v>136.24</v>
      </c>
    </row>
    <row r="21">
      <c r="B21" s="13" t="inlineStr">
        <is>
          <t>Current assets</t>
        </is>
      </c>
      <c r="C21" s="35" t="n">
        <v>133.52</v>
      </c>
      <c r="D21" s="35" t="n">
        <v>196.31</v>
      </c>
      <c r="E21" s="35" t="n">
        <v>186.85</v>
      </c>
    </row>
    <row r="22">
      <c r="B22" s="13" t="inlineStr">
        <is>
          <t>Current liabilities</t>
        </is>
      </c>
      <c r="C22" s="35" t="n">
        <v>89.18000000000001</v>
      </c>
      <c r="D22" s="35" t="n">
        <v>108.28</v>
      </c>
      <c r="E22" s="35" t="n">
        <v>96.31</v>
      </c>
    </row>
    <row r="23">
      <c r="B23" s="13" t="inlineStr">
        <is>
          <t>Capital expenditure</t>
        </is>
      </c>
      <c r="C23" s="35" t="n">
        <v>56.12</v>
      </c>
      <c r="D23" s="35" t="n">
        <v>50.77</v>
      </c>
      <c r="E23" s="35" t="n">
        <v>76.65000000000001</v>
      </c>
    </row>
    <row r="24">
      <c r="B24" s="13" t="inlineStr">
        <is>
          <t>Dividends paid</t>
        </is>
      </c>
      <c r="C24" s="35" t="n">
        <v>56.23</v>
      </c>
      <c r="D24" s="35" t="n">
        <v>61.17</v>
      </c>
      <c r="E24" s="35" t="n">
        <v>61.41</v>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0.08</v>
      </c>
      <c r="D29" s="36" t="n">
        <v>0.08</v>
      </c>
    </row>
    <row r="30">
      <c r="B30" s="13" t="inlineStr">
        <is>
          <t>EBITDA margin (%)</t>
        </is>
      </c>
      <c r="C30" s="36" t="n">
        <v>0.375</v>
      </c>
      <c r="D30" s="36" t="n">
        <v>0.375</v>
      </c>
    </row>
    <row r="31">
      <c r="B31" s="13" t="inlineStr">
        <is>
          <t>Capital expenditure (Rs crore)</t>
        </is>
      </c>
      <c r="C31" s="35" t="n">
        <v>70</v>
      </c>
      <c r="D31" s="35" t="n">
        <v>70</v>
      </c>
    </row>
    <row r="32">
      <c r="B32" s="13" t="inlineStr">
        <is>
          <t>Net new debt + / (repayment) (Rs crore)</t>
        </is>
      </c>
      <c r="C32" s="35" t="n">
        <v>-4</v>
      </c>
      <c r="D32" s="35" t="n">
        <v>-4</v>
      </c>
    </row>
    <row r="33">
      <c r="B33" s="13" t="inlineStr">
        <is>
          <t>Average interest rate on debt (%)</t>
        </is>
      </c>
      <c r="C33" s="36" t="n">
        <v>0.125</v>
      </c>
      <c r="D33" s="36" t="n">
        <v>0.125</v>
      </c>
    </row>
    <row r="34">
      <c r="B34" s="13" t="inlineStr">
        <is>
          <t>Tax rate (%)</t>
        </is>
      </c>
      <c r="C34" s="36" t="n">
        <v>0.16</v>
      </c>
      <c r="D34" s="36" t="n">
        <v>0.16</v>
      </c>
    </row>
    <row r="35">
      <c r="B35" s="13" t="inlineStr">
        <is>
          <t>Dividend payout (% of PAT)</t>
        </is>
      </c>
      <c r="C35" s="36" t="n">
        <v>0.49</v>
      </c>
      <c r="D35" s="36" t="n">
        <v>0.49</v>
      </c>
    </row>
    <row r="38">
      <c r="B38" s="10" t="inlineStr">
        <is>
          <t>Qualitative assessment (1 = strongest ... 6 = weakest)</t>
        </is>
      </c>
    </row>
    <row r="39">
      <c r="B39" s="13" t="inlineStr">
        <is>
          <t>Industry risk override (blank = use sector base from Ref_Weights)</t>
        </is>
      </c>
      <c r="C39" s="17" t="n"/>
      <c r="F39" s="9" t="inlineStr">
        <is>
          <t>Leave blank to accept the sector's base score; enter 1-6 to override.</t>
        </is>
      </c>
    </row>
    <row r="40">
      <c r="B40" s="13" t="inlineStr">
        <is>
          <t>Business risk / market position score</t>
        </is>
      </c>
      <c r="C40" s="17" t="n">
        <v>4</v>
      </c>
      <c r="F40" s="9" t="inlineStr">
        <is>
          <t>Market share, brand/distribution, diversification, pricing power vs peers.</t>
        </is>
      </c>
    </row>
    <row r="41">
      <c r="B41" s="13" t="inlineStr">
        <is>
          <t>Management &amp; governance score</t>
        </is>
      </c>
      <c r="C41" s="17" t="n">
        <v>3</v>
      </c>
      <c r="F41" s="9" t="inlineStr">
        <is>
          <t>Track record, financial policy/risk appetite, governance, group linkages.</t>
        </is>
      </c>
    </row>
    <row r="42">
      <c r="B42" s="13" t="inlineStr">
        <is>
          <t>Parent/group support notches (+ = uplift, - = drag)</t>
        </is>
      </c>
      <c r="C42" s="17" t="n">
        <v>0</v>
      </c>
      <c r="F42" s="9" t="inlineStr">
        <is>
          <t>Per the agency's parent/group notching criteria; usually 0 to +/-3.</t>
        </is>
      </c>
    </row>
    <row r="43">
      <c r="B43" s="13" t="inlineStr">
        <is>
          <t>Liquidity descriptor</t>
        </is>
      </c>
      <c r="C43" s="6" t="inlineStr">
        <is>
          <t>Superior</t>
        </is>
      </c>
      <c r="F43" s="9" t="inlineStr">
        <is>
          <t>Superior/Strong lifts ST mapping in overlap bands and improves the composite (Ref_Scales).</t>
        </is>
      </c>
    </row>
    <row r="44">
      <c r="B44" s="13" t="inlineStr">
        <is>
          <t>Outlook</t>
        </is>
      </c>
      <c r="C44" s="6" t="inlineStr">
        <is>
          <t>Stable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0.16</v>
      </c>
      <c r="D49" s="36" t="n">
        <v>0.158</v>
      </c>
    </row>
    <row r="50">
      <c r="B50" s="13" t="inlineStr">
        <is>
          <t>Gross NPA (%)</t>
        </is>
      </c>
      <c r="C50" s="36" t="n">
        <v>0.025</v>
      </c>
      <c r="D50" s="36" t="n">
        <v>0.022</v>
      </c>
    </row>
    <row r="51">
      <c r="B51" s="13" t="inlineStr">
        <is>
          <t>Net NPA (%)</t>
        </is>
      </c>
      <c r="C51" s="36" t="n">
        <v>0.006</v>
      </c>
      <c r="D51" s="36" t="n">
        <v>0.005</v>
      </c>
    </row>
    <row r="52">
      <c r="B52" s="13" t="inlineStr">
        <is>
          <t>Return on assets - RoA (%)</t>
        </is>
      </c>
      <c r="C52" s="36" t="n">
        <v>0.013</v>
      </c>
      <c r="D52" s="36" t="n">
        <v>0.014</v>
      </c>
    </row>
    <row r="53">
      <c r="B53" s="13" t="inlineStr">
        <is>
          <t>Net interest margin - NIM (%)</t>
        </is>
      </c>
      <c r="C53" s="36" t="n">
        <v>0.033</v>
      </c>
      <c r="D53" s="36" t="n">
        <v>0.033</v>
      </c>
    </row>
    <row r="54">
      <c r="B54" s="13" t="inlineStr">
        <is>
          <t>Cost-to-income (%)</t>
        </is>
      </c>
      <c r="C54" s="36" t="n">
        <v>0.46</v>
      </c>
      <c r="D54" s="36" t="n">
        <v>0.45</v>
      </c>
    </row>
    <row r="55">
      <c r="B55" s="13" t="inlineStr">
        <is>
          <t>Total assets / AUM (Rs crore)</t>
        </is>
      </c>
      <c r="C55" s="35" t="n">
        <v>500000</v>
      </c>
      <c r="D55" s="35" t="n">
        <v>545000</v>
      </c>
    </row>
    <row r="58">
      <c r="B58" s="49" t="inlineStr">
        <is>
          <t>COMMITTEE OVERLAY (Step 17c) - the bridge from the financial anchor to the ASSIGNED rating</t>
        </is>
      </c>
    </row>
    <row r="59">
      <c r="B59" s="50" t="inlineStr">
        <is>
          <t>Adjustment</t>
        </is>
      </c>
      <c r="C59" s="50" t="inlineStr">
        <is>
          <t>Notches (+ improves)</t>
        </is>
      </c>
      <c r="D59" s="50" t="inlineStr">
        <is>
          <t>Justification - REQUIRED whenever notches &lt;&gt; 0</t>
        </is>
      </c>
    </row>
    <row r="60">
      <c r="B60" t="inlineStr">
        <is>
          <t>Sector-metric applicability</t>
        </is>
      </c>
      <c r="C60" s="51" t="n">
        <v>0</v>
      </c>
      <c r="D60" s="51" t="inlineStr"/>
      <c r="F60" s="46"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51" t="n">
        <v>0</v>
      </c>
      <c r="D61" s="51" t="inlineStr"/>
      <c r="F61" s="46" t="inlineStr">
        <is>
          <t>Market position, scale or diversification the financial ratios cannot see.</t>
        </is>
      </c>
    </row>
    <row r="62">
      <c r="B62" t="inlineStr">
        <is>
          <t>Parent / group support beyond the Step 12b notch</t>
        </is>
      </c>
      <c r="C62" s="51" t="n">
        <v>0</v>
      </c>
      <c r="D62" s="51" t="inlineStr"/>
      <c r="F62" s="46" t="inlineStr">
        <is>
          <t>Only the INCREMENT over Inputs!C42, so support is never counted twice.</t>
        </is>
      </c>
    </row>
    <row r="63">
      <c r="B63" t="inlineStr">
        <is>
          <t>Peer benchmarking / calibration</t>
        </is>
      </c>
      <c r="C63" s="51" t="n">
        <v>0</v>
      </c>
      <c r="D63" s="51" t="inlineStr"/>
      <c r="F63" s="46" t="inlineStr">
        <is>
          <t>Where the anchor sits against this agency's published grades for close peers.</t>
        </is>
      </c>
    </row>
    <row r="64">
      <c r="B64" t="inlineStr">
        <is>
          <t>Other (name it in the justification)</t>
        </is>
      </c>
      <c r="C64" s="51" t="n">
        <v>0</v>
      </c>
      <c r="D64" s="51" t="inlineStr"/>
      <c r="F64" s="46" t="inlineStr">
        <is>
          <t>Anything else the Committee relied on. Unnamed adjustments are a defect.</t>
        </is>
      </c>
    </row>
    <row r="66">
      <c r="B66" t="inlineStr">
        <is>
          <t>Committee direct override - assigned index (blank = anchor + overlay)</t>
        </is>
      </c>
      <c r="C66" s="51" t="inlineStr"/>
      <c r="D66" s="51" t="inlineStr"/>
      <c r="F66" s="46" t="inlineStr">
        <is>
          <t>Use ONLY where the Committee sets the grade directly rather than by notching from the anchor. 0 = AAA ... 16 = C. A reason in D66 is required.</t>
        </is>
      </c>
    </row>
    <row r="67">
      <c r="B67" t="inlineStr">
        <is>
          <t>Hard caps apply? (Y / N)</t>
        </is>
      </c>
      <c r="C67" s="51" t="inlineStr">
        <is>
          <t>Y</t>
        </is>
      </c>
      <c r="D67" s="51" t="inlineStr"/>
      <c r="F67" s="46"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71" t="inlineStr">
        <is>
          <t>BUSINESS-RISK GATE (failure mode 53) - business risk BOUNDS the anchor; it is never averaged into it</t>
        </is>
      </c>
    </row>
    <row r="69">
      <c r="B69" t="inlineStr">
        <is>
          <t>Business-risk ceiling grade (blank = no ceiling)</t>
        </is>
      </c>
      <c r="C69" t="inlineStr">
        <is>
          <t>AA-</t>
        </is>
      </c>
      <c r="D69" t="inlineStr">
        <is>
          <t>Business-risk ceiling AA-. The rationale already reached this conclusion in prose and never encoded it: 'It is scale, not financial risk, that holds the rating where it is: the leverage and coverage metrics on their own would support a materially higher grade.' Evidence: operating income Rs 231.93 crore is small in absolute terms and 80% of it is a single-city (Vadodara) real-estate business whose revenue is lumpy across project completions; the API segment at Rs 46.59 crore of revenue and Rs 5.65 crore of segment profit is not yet of a size to diversify the earnings base; and the listed portfolio is concentrated in two entities of one group, its market value down 33% over two years (Rs 5,823.75 cr FY2024 to Rs 3,885.89 cr FY2026). ICRA assesses scale, diversification and concentration descriptively with no numeric band, so under failure mode 53 they bound the anchor rather than being averaged into it. The ceiling binds AT the Stage 1 anchor (AA-, index 3), so it confirms the grade rather than moving it - which is the correct result here and is exactly what the gate exists to make explicit rather than accidental. Set 13-Sep-2026.</t>
        </is>
      </c>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f>Inputs!E12*(1+Inputs!C29)</f>
        <v>250.4844</v>
      </c>
      <c r="D5" s="37">
        <f>C5*(1+Inputs!D29)</f>
        <v>270.523152</v>
      </c>
    </row>
    <row r="6">
      <c r="B6" s="13" t="inlineStr">
        <is>
          <t>EBITDA</t>
        </is>
      </c>
      <c r="C6" s="37">
        <f>C5*Inputs!C30</f>
        <v>93.93165</v>
      </c>
      <c r="D6" s="37">
        <f>D5*Inputs!D30</f>
        <v>101.446182</v>
      </c>
    </row>
    <row r="7">
      <c r="B7" s="13" t="inlineStr">
        <is>
          <t>Depreciation</t>
        </is>
      </c>
      <c r="C7" s="37">
        <f>Inputs!E14</f>
        <v>12.01</v>
      </c>
      <c r="D7" s="37">
        <f>C7</f>
        <v>12.01</v>
      </c>
    </row>
    <row r="8">
      <c r="B8" s="13" t="inlineStr">
        <is>
          <t>EBIT</t>
        </is>
      </c>
      <c r="C8" s="37">
        <f>C6-C7</f>
        <v>81.92165</v>
      </c>
      <c r="D8" s="37">
        <f>D6-D7</f>
        <v>89.436182</v>
      </c>
    </row>
    <row r="9">
      <c r="B9" s="13" t="inlineStr">
        <is>
          <t>Total debt (closing)</t>
        </is>
      </c>
      <c r="C9" s="37">
        <f>Inputs!E17+Inputs!C32</f>
        <v>6.64</v>
      </c>
      <c r="D9" s="37">
        <f>C9+Inputs!D32</f>
        <v>2.64</v>
      </c>
    </row>
    <row r="10">
      <c r="B10" s="13" t="inlineStr">
        <is>
          <t>Interest expense</t>
        </is>
      </c>
      <c r="C10" s="37">
        <f>AVERAGE(Inputs!E17,C9)*Inputs!C33</f>
        <v>1.08</v>
      </c>
      <c r="D10" s="37">
        <f>AVERAGE(C9,D9)*Inputs!D33</f>
        <v>0.58</v>
      </c>
    </row>
    <row r="11">
      <c r="B11" s="13" t="inlineStr">
        <is>
          <t>Profit before tax</t>
        </is>
      </c>
      <c r="C11" s="37">
        <f>C8-C10</f>
        <v>80.84165</v>
      </c>
      <c r="D11" s="37">
        <f>D8-D10</f>
        <v>88.856182</v>
      </c>
    </row>
    <row r="12">
      <c r="B12" s="13" t="inlineStr">
        <is>
          <t>Tax</t>
        </is>
      </c>
      <c r="C12" s="37">
        <f>MAX(C11,0)*Inputs!C34</f>
        <v>12.934664</v>
      </c>
      <c r="D12" s="37">
        <f>MAX(D11,0)*Inputs!D34</f>
        <v>14.21698912</v>
      </c>
    </row>
    <row r="13">
      <c r="B13" s="13" t="inlineStr">
        <is>
          <t>PAT</t>
        </is>
      </c>
      <c r="C13" s="37">
        <f>C11-C12</f>
        <v>67.906986</v>
      </c>
      <c r="D13" s="37">
        <f>D11-D12</f>
        <v>74.63919288</v>
      </c>
    </row>
    <row r="14">
      <c r="B14" s="13" t="inlineStr">
        <is>
          <t>Gross cash accruals (PAT + Dep)</t>
        </is>
      </c>
      <c r="C14" s="37">
        <f>C13+C7</f>
        <v>79.916986</v>
      </c>
      <c r="D14" s="37">
        <f>D13+D7</f>
        <v>86.64919288</v>
      </c>
    </row>
    <row r="15">
      <c r="B15" s="13" t="inlineStr">
        <is>
          <t>Dividends</t>
        </is>
      </c>
      <c r="C15" s="37">
        <f>C13*Inputs!C35</f>
        <v>33.27442314</v>
      </c>
      <c r="D15" s="37">
        <f>D13*Inputs!D35</f>
        <v>36.5732045112</v>
      </c>
    </row>
    <row r="16">
      <c r="B16" s="13" t="inlineStr">
        <is>
          <t>Tangible net worth (closing)</t>
        </is>
      </c>
      <c r="C16" s="37">
        <f>Inputs!E19+C13-C15</f>
        <v>856.09256286</v>
      </c>
      <c r="D16" s="37">
        <f>C16+D13-D15</f>
        <v>894.1585512288</v>
      </c>
    </row>
    <row r="17">
      <c r="B17" s="13" t="inlineStr">
        <is>
          <t>Cash &amp; liquid investments (closing)</t>
        </is>
      </c>
      <c r="C17" s="37">
        <f>Inputs!E18+C14-Inputs!C31-C15+Inputs!C32</f>
        <v>62.79256286</v>
      </c>
      <c r="D17" s="37">
        <f>C17+D14-Inputs!D31-D15+Inputs!D32</f>
        <v>38.8685512288</v>
      </c>
    </row>
    <row r="18">
      <c r="B18" s="13" t="inlineStr">
        <is>
          <t>Free cash flow (GCA - capex - dividends)</t>
        </is>
      </c>
      <c r="C18" s="37">
        <f>C14-Inputs!C31-C15</f>
        <v>-23.35743714</v>
      </c>
      <c r="D18" s="37">
        <f>D14-Inputs!D31-D15</f>
        <v>-19.9240116312</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t="str">
        <f>"Agency: "&amp;Inputs!C5&amp;"   |   EBITDA is labelled "&amp;INDEX(Ref_Scales!I5:I7,MATCH(Inputs!C5,Ref_Scales!H5:H7,0))&amp;" by this agency"</f>
        <v>Agency: ICRA   |   EBITDA is labelled OPBDIT by this agency</v>
      </c>
    </row>
    <row r="5">
      <c r="B5" s="11" t="inlineStr">
        <is>
          <t>Ratio</t>
        </is>
      </c>
      <c r="C5" s="15" t="str">
        <f>Inputs!C11</f>
        <v>FY2024</v>
      </c>
      <c r="D5" s="15" t="str">
        <f>Inputs!D11</f>
        <v>FY2025</v>
      </c>
      <c r="E5" s="15" t="str">
        <f>Inputs!E11</f>
        <v>FY2026</v>
      </c>
      <c r="F5" s="15" t="inlineStr">
        <is>
          <t>FY+1 (P)</t>
        </is>
      </c>
      <c r="G5" s="15" t="inlineStr">
        <is>
          <t>FY+2 (P)</t>
        </is>
      </c>
    </row>
    <row r="6">
      <c r="B6" s="13" t="inlineStr">
        <is>
          <t>Revenue growth (%)</t>
        </is>
      </c>
      <c r="C6" s="38" t="inlineStr">
        <is>
          <t>n.a.</t>
        </is>
      </c>
      <c r="D6" s="38">
        <f>Inputs!D12/Inputs!C12-1</f>
        <v>0.4079474548</v>
      </c>
      <c r="E6" s="38">
        <f>Inputs!E12/Inputs!D12-1</f>
        <v>0.0819649188</v>
      </c>
      <c r="F6" s="38">
        <f>Projections!C5/Inputs!E12-1</f>
        <v>0.08</v>
      </c>
      <c r="G6" s="38">
        <f>Projections!D5/Projections!C5-1</f>
        <v>0.08</v>
      </c>
    </row>
    <row r="7">
      <c r="B7" s="13" t="str">
        <f>INDEX(Ref_Scales!I5:I7,MATCH(Inputs!C5,Ref_Scales!H5:H7,0))&amp;" margin (%)"</f>
        <v>OPBDIT margin (%)</v>
      </c>
      <c r="C7" s="38">
        <f>Inputs!C13/Inputs!C12</f>
        <v>0.3694581281</v>
      </c>
      <c r="D7" s="38">
        <f>Inputs!D13/Inputs!D12</f>
        <v>0.4177551782</v>
      </c>
      <c r="E7" s="38">
        <f>Inputs!E13/Inputs!E12</f>
        <v>0.3780882163</v>
      </c>
      <c r="F7" s="38">
        <f>Projections!C6/Projections!C5</f>
        <v>0.375</v>
      </c>
      <c r="G7" s="38">
        <f>Projections!D6/Projections!D5</f>
        <v>0.375</v>
      </c>
    </row>
    <row r="8">
      <c r="B8" s="13" t="inlineStr">
        <is>
          <t>PAT margin (%)</t>
        </is>
      </c>
      <c r="C8" s="38">
        <f>Inputs!C16/Inputs!C12</f>
        <v>0.6101149425</v>
      </c>
      <c r="D8" s="38">
        <f>Inputs!D16/Inputs!D12</f>
        <v>0.6622037694</v>
      </c>
      <c r="E8" s="38">
        <f>Inputs!E16/Inputs!E12</f>
        <v>0.5369723624</v>
      </c>
      <c r="F8" s="38">
        <f>Projections!C13/Projections!C5</f>
        <v>0.2711026555</v>
      </c>
      <c r="G8" s="38">
        <f>Projections!D13/Projections!D5</f>
        <v>0.275906858</v>
      </c>
    </row>
    <row r="9">
      <c r="B9" s="13" t="inlineStr">
        <is>
          <t>ROCE (EBIT / (TD + TNW)) (%)</t>
        </is>
      </c>
      <c r="C9" s="38">
        <f>(Inputs!C13-Inputs!C14)/(Inputs!C17+Inputs!C19)</f>
        <v>0.05965204</v>
      </c>
      <c r="D9" s="38">
        <f>(Inputs!D13-Inputs!D14)/(Inputs!D17+Inputs!D19)</f>
        <v>0.0914088793</v>
      </c>
      <c r="E9" s="38">
        <f>(Inputs!E13-Inputs!E14)/(Inputs!E17+Inputs!E19)</f>
        <v>0.0909506069</v>
      </c>
      <c r="F9" s="38">
        <f>Projections!C8/(Projections!C9+Projections!C16)</f>
        <v>0.0949560194</v>
      </c>
      <c r="G9" s="38">
        <f>Projections!D8/(Projections!D9+Projections!D16)</f>
        <v>0.0997282856</v>
      </c>
    </row>
    <row r="10">
      <c r="B10" s="13" t="str">
        <f>"Gearing / overall gearing - Total debt/TNW (x)"</f>
        <v>Gearing / overall gearing - Total debt/TNW (x)</v>
      </c>
      <c r="C10" s="39">
        <f>Inputs!C17/Inputs!C19</f>
        <v>0.0113136159</v>
      </c>
      <c r="D10" s="39">
        <f>Inputs!D17/Inputs!D19</f>
        <v>0.0169364385</v>
      </c>
      <c r="E10" s="39">
        <f>Inputs!E17/Inputs!E19</f>
        <v>0.0129525479</v>
      </c>
      <c r="F10" s="39">
        <f>Projections!C9/Projections!C16</f>
        <v>0.0077561706</v>
      </c>
      <c r="G10" s="39">
        <f>Projections!D9/Projections!D16</f>
        <v>0.0029524965</v>
      </c>
    </row>
    <row r="11">
      <c r="B11" s="13" t="inlineStr">
        <is>
          <t>TOL/TNW (x)</t>
        </is>
      </c>
      <c r="C11" s="39">
        <f>Inputs!C20/Inputs!C19</f>
        <v>0.1695311341</v>
      </c>
      <c r="D11" s="39">
        <f>Inputs!D20/Inputs!D19</f>
        <v>0.1835933379</v>
      </c>
      <c r="E11" s="39">
        <f>Inputs!E20/Inputs!E19</f>
        <v>0.1658510457</v>
      </c>
      <c r="F11" s="39" t="inlineStr">
        <is>
          <t>n.a.</t>
        </is>
      </c>
      <c r="G11" s="39" t="inlineStr">
        <is>
          <t>n.a.</t>
        </is>
      </c>
    </row>
    <row r="12">
      <c r="B12" s="13" t="str">
        <f>"Total debt/"&amp;INDEX(Ref_Scales!I5:I7,MATCH(Inputs!C5,Ref_Scales!H5:H7,0))&amp;" (x)"</f>
        <v>Total debt/OPBDIT (x)</v>
      </c>
      <c r="C12" s="39">
        <f>Inputs!C17/Inputs!C13</f>
        <v>0.1626666667</v>
      </c>
      <c r="D12" s="39">
        <f>Inputs!D17/Inputs!D13</f>
        <v>0.1613623674</v>
      </c>
      <c r="E12" s="39">
        <f>Inputs!E17/Inputs!E13</f>
        <v>0.1213365264</v>
      </c>
      <c r="F12" s="39">
        <f>Projections!C9/Projections!C6</f>
        <v>0.0706896983</v>
      </c>
      <c r="G12" s="39">
        <f>Projections!D9/Projections!D6</f>
        <v>0.0260236506</v>
      </c>
    </row>
    <row r="13">
      <c r="B13" s="13" t="inlineStr">
        <is>
          <t>Total debt/GCA (x)</t>
        </is>
      </c>
      <c r="C13" s="39">
        <f>Inputs!C17/(Inputs!C16+Inputs!C14)</f>
        <v>0.091180867</v>
      </c>
      <c r="D13" s="39">
        <f>Inputs!D17/(Inputs!D16+Inputs!D14)</f>
        <v>0.0949471056</v>
      </c>
      <c r="E13" s="39">
        <f>Inputs!E17/(Inputs!E16+Inputs!E14)</f>
        <v>0.0779201758</v>
      </c>
      <c r="F13" s="39">
        <f>Projections!C9/Projections!C14</f>
        <v>0.0830862165</v>
      </c>
      <c r="G13" s="39">
        <f>Projections!D9/Projections!D14</f>
        <v>0.0304676814</v>
      </c>
    </row>
    <row r="14">
      <c r="B14" s="13" t="inlineStr">
        <is>
          <t>Interest coverage (x)</t>
        </is>
      </c>
      <c r="C14" s="39">
        <f>Inputs!C13/Inputs!C15</f>
        <v>81.5217391304</v>
      </c>
      <c r="D14" s="39">
        <f>Inputs!D13/Inputs!D15</f>
        <v>48.9344262295</v>
      </c>
      <c r="E14" s="39">
        <f>Inputs!E13/Inputs!E15</f>
        <v>55.8535031847</v>
      </c>
      <c r="F14" s="39">
        <f>Projections!C6/Projections!C10</f>
        <v>86.97375</v>
      </c>
      <c r="G14" s="39">
        <f>Projections!D6/Projections!D10</f>
        <v>174.9072103448</v>
      </c>
    </row>
    <row r="15">
      <c r="B15" s="13" t="inlineStr">
        <is>
          <t>GCA/Total debt (x)</t>
        </is>
      </c>
      <c r="C15" s="39">
        <f>(Inputs!C16+Inputs!C14)/Inputs!C17</f>
        <v>10.9672131148</v>
      </c>
      <c r="D15" s="39">
        <f>(Inputs!D16+Inputs!D14)/Inputs!D17</f>
        <v>10.5321799308</v>
      </c>
      <c r="E15" s="39">
        <f>(Inputs!E16+Inputs!E14)/Inputs!E17</f>
        <v>12.8336466165</v>
      </c>
      <c r="F15" s="39">
        <f>Projections!C14/Projections!C9</f>
        <v>12.0356906627</v>
      </c>
      <c r="G15" s="39">
        <f>Projections!D14/Projections!D9</f>
        <v>32.8216639697</v>
      </c>
    </row>
    <row r="16">
      <c r="B16" s="13" t="inlineStr">
        <is>
          <t>Current ratio (x)</t>
        </is>
      </c>
      <c r="C16" s="39">
        <f>Inputs!C21/Inputs!C22</f>
        <v>1.4971966809</v>
      </c>
      <c r="D16" s="39">
        <f>Inputs!D21/Inputs!D22</f>
        <v>1.8129848541</v>
      </c>
      <c r="E16" s="39">
        <f>Inputs!E21/Inputs!E22</f>
        <v>1.940089295</v>
      </c>
      <c r="F16" s="39" t="inlineStr">
        <is>
          <t>n.a.</t>
        </is>
      </c>
      <c r="G16" s="39" t="inlineStr">
        <is>
          <t>n.a.</t>
        </is>
      </c>
    </row>
    <row r="17">
      <c r="B17" s="13" t="inlineStr">
        <is>
          <t>Net debt (TD - cash &amp; liquid) (Rs crore)</t>
        </is>
      </c>
      <c r="C17" s="37">
        <f>Inputs!C17-Inputs!C18</f>
        <v>-2.7</v>
      </c>
      <c r="D17" s="37">
        <f>Inputs!D17-Inputs!D18</f>
        <v>-37.64</v>
      </c>
      <c r="E17" s="37">
        <f>Inputs!E17-Inputs!E18</f>
        <v>-79.51</v>
      </c>
      <c r="F17" s="37">
        <f>Projections!C9-Projections!C17</f>
        <v>-56.15256286</v>
      </c>
      <c r="G17" s="37">
        <f>Projections!D9-Projections!D17</f>
        <v>-36.2285512288</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f>Ratios!E14</f>
        <v>55.8535031847</v>
      </c>
      <c r="D6" s="40">
        <f>Ratios!F14</f>
        <v>86.97375</v>
      </c>
      <c r="E6" s="39">
        <f>AVERAGE(C6:D6)</f>
        <v>71.4136265924</v>
      </c>
      <c r="F6" s="23">
        <f>IF(Ref_Bands!$B$5="higher",6-COUNTIF(Ref_Bands!$C$5:$G$5,"&lt;="&amp;E6),1+COUNTIF(Ref_Bands!$C$5:$G$5,"&lt;"&amp;E6))</f>
        <v>1.0</v>
      </c>
      <c r="G6" s="24">
        <f>Ref_Bands!$H$5</f>
        <v>0.25</v>
      </c>
      <c r="H6" s="25">
        <f>F6*G6</f>
        <v>0.25</v>
      </c>
      <c r="I6" s="9" t="inlineStr">
        <is>
          <t>Scores 1 (strongest) - 6 (weakest) from Ref_Bands thresholds; current ratio assessed on FY0 only (no projected balance-sheet split).</t>
        </is>
      </c>
    </row>
    <row r="7">
      <c r="B7" s="13" t="inlineStr">
        <is>
          <t>Gearing - TD/TNW (x)</t>
        </is>
      </c>
      <c r="C7" s="40">
        <f>Ratios!E10</f>
        <v>0.0129525479</v>
      </c>
      <c r="D7" s="40">
        <f>Ratios!F10</f>
        <v>0.0077561706</v>
      </c>
      <c r="E7" s="39">
        <f>AVERAGE(C7:D7)</f>
        <v>0.0103543593</v>
      </c>
      <c r="F7" s="23">
        <f>IF(Ref_Bands!$B$6="higher",6-COUNTIF(Ref_Bands!$C$6:$G$6,"&lt;="&amp;E7),1+COUNTIF(Ref_Bands!$C$6:$G$6,"&lt;"&amp;E7))</f>
        <v>1.0</v>
      </c>
      <c r="G7" s="24">
        <f>Ref_Bands!$H$6</f>
        <v>0.2</v>
      </c>
      <c r="H7" s="25">
        <f>F7*G7</f>
        <v>0.2</v>
      </c>
    </row>
    <row r="8">
      <c r="B8" s="13" t="inlineStr">
        <is>
          <t>Total debt/EBITDA (x)</t>
        </is>
      </c>
      <c r="C8" s="40">
        <f>Ratios!E12</f>
        <v>0.1213365264</v>
      </c>
      <c r="D8" s="40">
        <f>Ratios!F12</f>
        <v>0.0706896983</v>
      </c>
      <c r="E8" s="39">
        <f>AVERAGE(C8:D8)</f>
        <v>0.0960131124</v>
      </c>
      <c r="F8" s="23">
        <f>IF(Ref_Bands!$B$7="higher",6-COUNTIF(Ref_Bands!$C$7:$G$7,"&lt;="&amp;E8),1+COUNTIF(Ref_Bands!$C$7:$G$7,"&lt;"&amp;E8))</f>
        <v>1.0</v>
      </c>
      <c r="G8" s="24">
        <f>Ref_Bands!$H$7</f>
        <v>0.2</v>
      </c>
      <c r="H8" s="25">
        <f>F8*G8</f>
        <v>0.2</v>
      </c>
    </row>
    <row r="9">
      <c r="B9" s="13" t="inlineStr">
        <is>
          <t>EBITDA margin (fraction)</t>
        </is>
      </c>
      <c r="C9" s="41">
        <f>Ratios!E7</f>
        <v>0.3780882163</v>
      </c>
      <c r="D9" s="41">
        <f>Ratios!F7</f>
        <v>0.375</v>
      </c>
      <c r="E9" s="38">
        <f>AVERAGE(C9:D9)</f>
        <v>0.3765441081</v>
      </c>
      <c r="F9" s="23">
        <f>IF(Ref_Bands!$B$8="higher",6-COUNTIF(Ref_Bands!$C$8:$G$8,"&lt;="&amp;E9),1+COUNTIF(Ref_Bands!$C$8:$G$8,"&lt;"&amp;E9))</f>
        <v>1.0</v>
      </c>
      <c r="G9" s="24">
        <f>Ref_Bands!$H$8</f>
        <v>0.15</v>
      </c>
      <c r="H9" s="25">
        <f>F9*G9</f>
        <v>0.15</v>
      </c>
    </row>
    <row r="10">
      <c r="B10" s="13" t="inlineStr">
        <is>
          <t>GCA/Total debt (x)</t>
        </is>
      </c>
      <c r="C10" s="40">
        <f>Ratios!E15</f>
        <v>12.8336466165</v>
      </c>
      <c r="D10" s="40">
        <f>Ratios!F15</f>
        <v>12.0356906627</v>
      </c>
      <c r="E10" s="39">
        <f>AVERAGE(C10:D10)</f>
        <v>12.4346686396</v>
      </c>
      <c r="F10" s="23">
        <f>IF(Ref_Bands!$B$9="higher",6-COUNTIF(Ref_Bands!$C$9:$G$9,"&lt;="&amp;E10),1+COUNTIF(Ref_Bands!$C$9:$G$9,"&lt;"&amp;E10))</f>
        <v>1.0</v>
      </c>
      <c r="G10" s="24">
        <f>Ref_Bands!$H$9</f>
        <v>0.12</v>
      </c>
      <c r="H10" s="25">
        <f>F10*G10</f>
        <v>0.12</v>
      </c>
    </row>
    <row r="11">
      <c r="B11" s="13" t="inlineStr">
        <is>
          <t>Current ratio (x)</t>
        </is>
      </c>
      <c r="C11" s="40">
        <f>Ratios!E16</f>
        <v>1.940089295</v>
      </c>
      <c r="D11" s="40">
        <f>Ratios!E16</f>
        <v>1.940089295</v>
      </c>
      <c r="E11" s="39">
        <f>AVERAGE(C11:D11)</f>
        <v>1.940089295</v>
      </c>
      <c r="F11" s="23">
        <f>IF(Ref_Bands!$B$10="higher",6-COUNTIF(Ref_Bands!$C$10:$G$10,"&lt;="&amp;E11),1+COUNTIF(Ref_Bands!$C$10:$G$10,"&lt;"&amp;E11))</f>
        <v>1.0</v>
      </c>
      <c r="G11" s="24">
        <f>Ref_Bands!$H$10</f>
        <v>0.08</v>
      </c>
      <c r="H11" s="25">
        <f>F11*G11</f>
        <v>0.08</v>
      </c>
    </row>
    <row r="12">
      <c r="B12" s="5" t="inlineStr">
        <is>
          <t>Financial risk score</t>
        </is>
      </c>
      <c r="E12" s="27" t="inlineStr"/>
      <c r="F12" s="28">
        <f>SUM(H6:H11)/SUM(G6:G11)</f>
        <v>1.0</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f>IF(Inputs!C39&lt;&gt;"",Inputs!C39,INDEX(Ref_Weights!$B$5:$B$26,MATCH(Inputs!$C$6,Ref_Weights!$A$5:$A$26,0)))</f>
        <v>4.5</v>
      </c>
      <c r="D17" s="24">
        <f>INDEX(Ref_Weights!$C$5:$C$26,MATCH(Inputs!$C$6,Ref_Weights!$A$5:$A$26,0))</f>
        <v>0.25</v>
      </c>
      <c r="E17" s="25">
        <f>C17*D17</f>
        <v>1.125</v>
      </c>
    </row>
    <row r="18">
      <c r="B18" s="13" t="inlineStr">
        <is>
          <t>Business risk / market position / franchise</t>
        </is>
      </c>
      <c r="C18" s="25">
        <f>Inputs!C40</f>
        <v>4</v>
      </c>
      <c r="D18" s="24">
        <f>INDEX(Ref_Weights!$D$5:$D$26,MATCH(Inputs!$C$6,Ref_Weights!$A$5:$A$26,0))</f>
        <v>0.2</v>
      </c>
      <c r="E18" s="25">
        <f>C18*D18</f>
        <v>0.8</v>
      </c>
    </row>
    <row r="19">
      <c r="B19" s="13" t="inlineStr">
        <is>
          <t>Financial risk (auto: corporate OR financial-sector)</t>
        </is>
      </c>
      <c r="C19" s="25">
        <f>IF(INDEX(Ref_Weights!$H$5:$H$26,MATCH(Inputs!$C$6,Ref_Weights!$A$5:$A$26,0))="Corporate",F12,F35)</f>
        <v>1.0</v>
      </c>
      <c r="D19" s="24">
        <f>INDEX(Ref_Weights!$E$5:$E$26,MATCH(Inputs!$C$6,Ref_Weights!$A$5:$A$26,0))</f>
        <v>0.4</v>
      </c>
      <c r="E19" s="25">
        <f>C19*D19</f>
        <v>0.4</v>
      </c>
    </row>
    <row r="20">
      <c r="B20" s="13" t="inlineStr">
        <is>
          <t>Management &amp; governance</t>
        </is>
      </c>
      <c r="C20" s="25">
        <f>Inputs!C41</f>
        <v>3</v>
      </c>
      <c r="D20" s="24">
        <f>INDEX(Ref_Weights!$F$5:$F$26,MATCH(Inputs!$C$6,Ref_Weights!$A$5:$A$26,0))</f>
        <v>0.15</v>
      </c>
      <c r="E20" s="25">
        <f>C20*D20</f>
        <v>0.45</v>
      </c>
    </row>
    <row r="22">
      <c r="B22" s="5" t="inlineStr">
        <is>
          <t>Composite score (weighted)</t>
        </is>
      </c>
      <c r="E22" s="28">
        <f>SUM(E17:E20)/SUM(D17:D20)</f>
        <v>2.775</v>
      </c>
    </row>
    <row r="23">
      <c r="B23" s="13" t="inlineStr">
        <is>
          <t>Liquidity adjustment</t>
        </is>
      </c>
      <c r="E23" s="24">
        <f>INDEX(Ref_Scales!$F$5:$F$9,MATCH(Inputs!$C$43,Ref_Scales!$E$5:$E$9,0))</f>
        <v>-0.25</v>
      </c>
    </row>
    <row r="24">
      <c r="B24" s="5" t="inlineStr">
        <is>
          <t>Adjusted composite (1 = best, 6 = worst)</t>
        </is>
      </c>
      <c r="E24" s="28">
        <f>MIN(6,MAX(1,E22+E23))</f>
        <v>2.525</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f>Inputs!C49</f>
        <v>0.16</v>
      </c>
      <c r="D29" s="41">
        <f>Inputs!D49</f>
        <v>0.158</v>
      </c>
      <c r="E29" s="38">
        <f>AVERAGE(C29:D29)</f>
        <v>0.159</v>
      </c>
      <c r="F29" s="23">
        <f>IF(Ref_Bands_Fin!$B$5="higher",6-COUNTIF(Ref_Bands_Fin!$C$5:$G$5,"&lt;="&amp;E29),1+COUNTIF(Ref_Bands_Fin!$C$5:$G$5,"&lt;"&amp;E29))</f>
        <v>3.0</v>
      </c>
      <c r="G29" s="24">
        <f>Ref_Bands_Fin!$H$5</f>
        <v>0.22</v>
      </c>
      <c r="H29" s="25">
        <f>F29*G29</f>
        <v>0.66</v>
      </c>
    </row>
    <row r="30">
      <c r="B30" s="13" t="inlineStr">
        <is>
          <t>Gross NPA (%)</t>
        </is>
      </c>
      <c r="C30" s="41">
        <f>Inputs!C50</f>
        <v>0.025</v>
      </c>
      <c r="D30" s="41">
        <f>Inputs!D50</f>
        <v>0.022</v>
      </c>
      <c r="E30" s="38">
        <f>AVERAGE(C30:D30)</f>
        <v>0.0235</v>
      </c>
      <c r="F30" s="23">
        <f>IF(Ref_Bands_Fin!$B$6="higher",6-COUNTIF(Ref_Bands_Fin!$C$6:$G$6,"&lt;="&amp;E30),1+COUNTIF(Ref_Bands_Fin!$C$6:$G$6,"&lt;"&amp;E30))</f>
        <v>3.0</v>
      </c>
      <c r="G30" s="24">
        <f>Ref_Bands_Fin!$H$6</f>
        <v>0.18</v>
      </c>
      <c r="H30" s="25">
        <f>F30*G30</f>
        <v>0.54</v>
      </c>
    </row>
    <row r="31">
      <c r="B31" s="13" t="inlineStr">
        <is>
          <t>Net NPA (%)</t>
        </is>
      </c>
      <c r="C31" s="41">
        <f>Inputs!C51</f>
        <v>0.006</v>
      </c>
      <c r="D31" s="41">
        <f>Inputs!D51</f>
        <v>0.005</v>
      </c>
      <c r="E31" s="38">
        <f>AVERAGE(C31:D31)</f>
        <v>0.0055</v>
      </c>
      <c r="F31" s="23">
        <f>IF(Ref_Bands_Fin!$B$7="higher",6-COUNTIF(Ref_Bands_Fin!$C$7:$G$7,"&lt;="&amp;E31),1+COUNTIF(Ref_Bands_Fin!$C$7:$G$7,"&lt;"&amp;E31))</f>
        <v>2.0</v>
      </c>
      <c r="G31" s="24">
        <f>Ref_Bands_Fin!$H$7</f>
        <v>0.15</v>
      </c>
      <c r="H31" s="25">
        <f>F31*G31</f>
        <v>0.3</v>
      </c>
    </row>
    <row r="32">
      <c r="B32" s="13" t="inlineStr">
        <is>
          <t>Return on assets - RoA (%)</t>
        </is>
      </c>
      <c r="C32" s="41">
        <f>Inputs!C52</f>
        <v>0.013</v>
      </c>
      <c r="D32" s="41">
        <f>Inputs!D52</f>
        <v>0.014</v>
      </c>
      <c r="E32" s="38">
        <f>AVERAGE(C32:D32)</f>
        <v>0.0135</v>
      </c>
      <c r="F32" s="23">
        <f>IF(Ref_Bands_Fin!$B$8="higher",6-COUNTIF(Ref_Bands_Fin!$C$8:$G$8,"&lt;="&amp;E32),1+COUNTIF(Ref_Bands_Fin!$C$8:$G$8,"&lt;"&amp;E32))</f>
        <v>3.0</v>
      </c>
      <c r="G32" s="24">
        <f>Ref_Bands_Fin!$H$8</f>
        <v>0.2</v>
      </c>
      <c r="H32" s="25">
        <f>F32*G32</f>
        <v>0.6</v>
      </c>
    </row>
    <row r="33">
      <c r="B33" s="13" t="inlineStr">
        <is>
          <t>Net interest margin - NIM (%)</t>
        </is>
      </c>
      <c r="C33" s="41">
        <f>Inputs!C53</f>
        <v>0.033</v>
      </c>
      <c r="D33" s="41">
        <f>Inputs!D53</f>
        <v>0.033</v>
      </c>
      <c r="E33" s="38">
        <f>AVERAGE(C33:D33)</f>
        <v>0.033</v>
      </c>
      <c r="F33" s="23">
        <f>IF(Ref_Bands_Fin!$B$9="higher",6-COUNTIF(Ref_Bands_Fin!$C$9:$G$9,"&lt;="&amp;E33),1+COUNTIF(Ref_Bands_Fin!$C$9:$G$9,"&lt;"&amp;E33))</f>
        <v>3.0</v>
      </c>
      <c r="G33" s="24">
        <f>Ref_Bands_Fin!$H$9</f>
        <v>0.13</v>
      </c>
      <c r="H33" s="25">
        <f>F33*G33</f>
        <v>0.39</v>
      </c>
    </row>
    <row r="34">
      <c r="B34" s="13" t="inlineStr">
        <is>
          <t>Cost-to-income (%)</t>
        </is>
      </c>
      <c r="C34" s="41">
        <f>Inputs!C54</f>
        <v>0.46</v>
      </c>
      <c r="D34" s="41">
        <f>Inputs!D54</f>
        <v>0.45</v>
      </c>
      <c r="E34" s="38">
        <f>AVERAGE(C34:D34)</f>
        <v>0.455</v>
      </c>
      <c r="F34" s="23">
        <f>IF(Ref_Bands_Fin!$B$10="higher",6-COUNTIF(Ref_Bands_Fin!$C$10:$G$10,"&lt;="&amp;E34),1+COUNTIF(Ref_Bands_Fin!$C$10:$G$10,"&lt;"&amp;E34))</f>
        <v>3.0</v>
      </c>
      <c r="G34" s="24">
        <f>Ref_Bands_Fin!$H$10</f>
        <v>0.12</v>
      </c>
      <c r="H34" s="25">
        <f>F34*G34</f>
        <v>0.36</v>
      </c>
    </row>
    <row r="35">
      <c r="B35" s="5" t="inlineStr">
        <is>
          <t>Financial-sector risk score</t>
        </is>
      </c>
      <c r="F35" s="28">
        <f>SUM(H29:H34)/SUM(G29:G34)</f>
        <v>2.85</v>
      </c>
    </row>
    <row r="37">
      <c r="B37" s="71"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4</v>
      </c>
    </row>
    <row r="40">
      <c r="B40" t="inlineStr">
        <is>
          <t>Financial risk score (1-6)</t>
        </is>
      </c>
      <c r="C40">
        <f>C19</f>
        <v>1.0</v>
      </c>
    </row>
    <row r="41">
      <c r="B41" t="inlineStr">
        <is>
          <t>Business weaker than financial by</t>
        </is>
      </c>
      <c r="C41">
        <f>C39-C40</f>
        <v>3.0</v>
      </c>
    </row>
    <row r="42">
      <c r="B42" t="inlineStr">
        <is>
          <t>GATE</t>
        </is>
      </c>
      <c r="C42" t="str">
        <f>IF(C41&gt;=2,"YES - set a ceiling in Inputs!C69 or state in Inputs!D69 why none applies","No - business and financial risk agree within one band")</f>
        <v>YES - set a ceiling in Inputs!C69 or state in Inputs!D69 why none applies</v>
      </c>
    </row>
    <row r="43">
      <c r="B43" t="inlineStr">
        <is>
          <t>Ceiling grade entered (Inputs!C69)</t>
        </is>
      </c>
      <c r="C43" t="str">
        <f>Inputs!C69</f>
        <v>AA-</v>
      </c>
      <c r="D43" t="str">
        <f>Inputs!D69</f>
        <v>Business-risk ceiling AA-. The rationale already reached this conclusion in prose and never encoded it: 'It is scale, not financial risk, that holds the rating where it is: the leverage and coverage metrics on their own would support a materially higher grade.' Evidence: operating income Rs 231.93 crore is small in absolute terms and 80% of it is a single-city (Vadodara) real-estate business whose revenue is lumpy across project completions; the API segment at Rs 46.59 crore of revenue and Rs 5.65 crore of segment profit is not yet of a size to diversify the earnings base; and the listed portfolio is concentrated in two entities of one group, its market value down 33% over two years (Rs 5,823.75 cr FY2024 to Rs 3,885.89 cr FY2026). ICRA assesses scale, diversification and concentration descriptively with no numeric band, so under failure mode 53 they bound the anchor rather than being averaged into it. The ceiling binds AT the Stage 1 anchor (AA-, index 3), so it confirms the grade rather than moving it - which is the correct result here and is exactly what the gate exists to make explicit rather than accidental. Set 13-Sep-2026.</v>
      </c>
    </row>
    <row r="44">
      <c r="B44" t="inlineStr">
        <is>
          <t>Ceiling index (0 = none/AAA ... 16 = C)</t>
        </is>
      </c>
      <c r="C44">
        <f>IF(Inputs!C69="",0,IFERROR(MATCH(Inputs!C69,Ref_Scales!$A$5:$A$21,0)-1,0))</f>
        <v>3.0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2" t="inlineStr">
        <is>
          <t>ASSIGNED RATING   -   this is the rating the rationale must state</t>
        </is>
      </c>
    </row>
    <row r="3">
      <c r="B3" t="inlineStr">
        <is>
          <t>Long-term</t>
        </is>
      </c>
      <c r="C3" s="53" t="str">
        <f>C36</f>
        <v>[ICRA]AA- (Stable)</v>
      </c>
    </row>
    <row r="4">
      <c r="B4" s="19" t="inlineStr">
        <is>
          <t>Short-term</t>
        </is>
      </c>
      <c r="C4" s="53" t="str">
        <f>C37</f>
        <v>[ICRA]A1+</v>
      </c>
    </row>
    <row r="5">
      <c r="B5" t="inlineStr">
        <is>
          <t>Combined</t>
        </is>
      </c>
      <c r="C5" s="54" t="str">
        <f>C38</f>
        <v>[ICRA]AA- (Stable) / [ICRA]A1+</v>
      </c>
    </row>
    <row r="6">
      <c r="B6" s="55" t="str">
        <f>"Issuer: "&amp;Inputs!C4&amp;"   |   Agency: "&amp;Inputs!C5&amp;"   |   Sector: "&amp;Inputs!C6</f>
        <v>Issuer: Alembic Limited   |   Agency: ICRA   |   Sector: Real Estate / Construction</v>
      </c>
      <c r="C6" s="25" t="n"/>
      <c r="E6" s="13" t="inlineStr">
        <is>
          <t>Sector type</t>
        </is>
      </c>
      <c r="F6" s="13" t="str">
        <f>INDEX(Ref_Weights!$H$5:$H$26,MATCH(Inputs!$C$6,Ref_Weights!$A$5:$A$26,0))</f>
        <v>Corporate</v>
      </c>
    </row>
    <row r="7">
      <c r="B7" s="56" t="inlineStr">
        <is>
          <t>Derived below: STAGE 1 financial anchor  -&gt;  STAGE 2 committee overlay  -&gt;  STAGE 3 assigned rating. Every step is computed on this sheet.</t>
        </is>
      </c>
      <c r="C7" s="23" t="n"/>
    </row>
    <row r="8">
      <c r="B8" s="13" t="n"/>
      <c r="C8" s="23" t="n"/>
    </row>
    <row r="9">
      <c r="B9" s="57" t="inlineStr">
        <is>
          <t>STAGE 1 - FINANCIAL ANCHOR   (screening view, computed from audited financials alone)</t>
        </is>
      </c>
      <c r="C9" s="23" t="n"/>
    </row>
    <row r="10">
      <c r="B10" s="13" t="inlineStr">
        <is>
          <t>Adjusted composite score</t>
        </is>
      </c>
      <c r="C10" s="13">
        <f>Scorecard!E24</f>
        <v>2.525</v>
      </c>
    </row>
    <row r="11">
      <c r="B11" s="13" t="inlineStr">
        <is>
          <t>Scale index before notches (0 = AAA ... 19 = D)</t>
        </is>
      </c>
      <c r="C11" s="23">
        <f>MIN(19,MAX(0,ROUND(16*((C10-1)/5)^1.4,0)))</f>
        <v>3.0</v>
      </c>
      <c r="D11" s="58" t="inlineStr">
        <is>
          <t>back-tested map (18-Jul-2026): power p=1.4, zero bias, reliable to about +/-2 notches as a SCREEN</t>
        </is>
      </c>
    </row>
    <row r="12">
      <c r="B12" s="5" t="inlineStr">
        <is>
          <t>Support notches entered at Step 12b (+ improves)</t>
        </is>
      </c>
      <c r="C12" s="29">
        <f>Inputs!C42</f>
        <v>0</v>
      </c>
    </row>
    <row r="13">
      <c r="B13" s="5" t="inlineStr">
        <is>
          <t>Index after support notches</t>
        </is>
      </c>
      <c r="C13" s="29">
        <f>MIN(19,MAX(0,C11-C12))</f>
        <v>3.0</v>
      </c>
    </row>
    <row r="14">
      <c r="B14" t="inlineStr">
        <is>
          <t>Hard cap tested</t>
        </is>
      </c>
      <c r="C14" t="str">
        <f>IF(Inputs!C67="N","DISAPPLIED for this issuer - reason in Inputs!D67",IF(F6="Corporate",IF(Inputs!E19&lt;0,"Negative net worth: capped at B-",IF(Ratios!E14&lt;1,"Coverage &lt;1x: capped at B+","None")),IF(Inputs!C49&lt;0.09,"CRAR below 9%: capped at BB+","None")))</f>
        <v>None</v>
      </c>
      <c r="D14" s="59" t="str">
        <f>IF(Inputs!C67="N",Inputs!D67,"(cap applies - not disapplied)")</f>
        <v>(cap applies - not disapplied)</v>
      </c>
    </row>
    <row r="15">
      <c r="B15" t="inlineStr">
        <is>
          <t>ANCHOR INDEX (after caps)</t>
        </is>
      </c>
      <c r="C15" s="50">
        <f>MAX(IF(Inputs!C67="N",C13,IF(F6="Corporate",IF(Inputs!E19&lt;0,MAX(C13,15),IF(Ratios!E14&lt;1,MAX(C13,13),C13)),IF(Inputs!C49&lt;0.09,MAX(C13,10),C13))),Scorecard!C44)</f>
        <v>3.0</v>
      </c>
    </row>
    <row r="16">
      <c r="B16" s="10" t="inlineStr">
        <is>
          <t>Anchor long-term grade</t>
        </is>
      </c>
      <c r="C16" t="str">
        <f>INDEX(Ref_Scales!$A$5:$A$24,C15+1)</f>
        <v>AA-</v>
      </c>
    </row>
    <row r="17">
      <c r="B17" s="13" t="inlineStr">
        <is>
          <t>Anchor short-term grade</t>
        </is>
      </c>
      <c r="C17" s="29" t="str">
        <f>IF(OR(Inputs!$C$43="Superior",Inputs!$C$43="Strong"),INDEX(Ref_Scales!$C$5:$C$24,C15+1),INDEX(Ref_Scales!$B$5:$B$24,C15+1))</f>
        <v>A1+</v>
      </c>
    </row>
    <row r="18">
      <c r="B18" s="13" t="inlineStr">
        <is>
          <t>Anchor line  (a SCREEN, not the rating)</t>
        </is>
      </c>
      <c r="C18" s="60" t="str">
        <f>C16&amp;" / "&amp;C17</f>
        <v>AA- / A1+</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1" t="inlineStr">
        <is>
          <t>STAGE 2 - COMMITTEE OVERLAY   (Step 17c: what the anchor cannot see)</t>
        </is>
      </c>
      <c r="C20" s="49" t="inlineStr">
        <is>
          <t>Notches</t>
        </is>
      </c>
      <c r="D20" s="49" t="inlineStr">
        <is>
          <t>Justification</t>
        </is>
      </c>
    </row>
    <row r="21">
      <c r="B21" t="inlineStr">
        <is>
          <t>Sector-metric applicability</t>
        </is>
      </c>
      <c r="C21">
        <f>Inputs!C60</f>
        <v>0</v>
      </c>
      <c r="D21" s="46">
        <f>Inputs!D60</f>
        <v>0</v>
      </c>
    </row>
    <row r="22">
      <c r="B22" s="10" t="inlineStr">
        <is>
          <t>Business / franchise strength beyond the financial composite</t>
        </is>
      </c>
      <c r="C22">
        <f>Inputs!C61</f>
        <v>0</v>
      </c>
      <c r="D22" s="46">
        <f>Inputs!D61</f>
        <v>0</v>
      </c>
    </row>
    <row r="23">
      <c r="B23" s="15" t="inlineStr">
        <is>
          <t>Parent / group support beyond the Step 12b notch</t>
        </is>
      </c>
      <c r="C23" s="15">
        <f>Inputs!C62</f>
        <v>0</v>
      </c>
      <c r="D23" s="62">
        <f>Inputs!D62</f>
        <v>0</v>
      </c>
    </row>
    <row r="24">
      <c r="B24" s="13" t="inlineStr">
        <is>
          <t>Peer benchmarking / calibration</t>
        </is>
      </c>
      <c r="C24" s="42">
        <f>Inputs!C63</f>
        <v>0</v>
      </c>
      <c r="D24" s="63">
        <f>Inputs!D63</f>
        <v>0</v>
      </c>
    </row>
    <row r="25">
      <c r="B25" s="13" t="inlineStr">
        <is>
          <t>Other (name it in the justification)</t>
        </is>
      </c>
      <c r="C25" s="42">
        <f>Inputs!C64</f>
        <v>0</v>
      </c>
      <c r="D25" s="63">
        <f>Inputs!D64</f>
        <v>0</v>
      </c>
    </row>
    <row r="26">
      <c r="B26" s="13" t="inlineStr">
        <is>
          <t>Total overlay notches (+ improves)</t>
        </is>
      </c>
      <c r="C26" s="64">
        <f>SUM(C21:C25)</f>
        <v>0.0</v>
      </c>
      <c r="D26" s="42" t="n"/>
    </row>
    <row r="27">
      <c r="B27" s="13" t="inlineStr">
        <is>
          <t>Index after overlay</t>
        </is>
      </c>
      <c r="C27" s="42">
        <f>MIN(19,MAX(0,C15-C26))</f>
        <v>3.0</v>
      </c>
      <c r="D27" s="42" t="n"/>
    </row>
    <row r="28">
      <c r="B28" s="13" t="n"/>
      <c r="C28" s="42" t="n"/>
      <c r="D28" s="42" t="n"/>
    </row>
    <row r="29">
      <c r="B29" s="65" t="inlineStr">
        <is>
          <t>STAGE 3 - ASSIGNED RATING   (the Committee's decision - what the rationale states)</t>
        </is>
      </c>
      <c r="C29" s="40" t="n"/>
      <c r="D29" s="40" t="n"/>
    </row>
    <row r="30">
      <c r="B30" s="13" t="inlineStr">
        <is>
          <t>Committee direct override index (blank = anchor + overlay)</t>
        </is>
      </c>
      <c r="C30" s="40" t="str">
        <f>IF(Inputs!C66="","(none)",Inputs!C66)</f>
        <v>(none)</v>
      </c>
      <c r="D30" s="66">
        <f>Inputs!D66</f>
        <v>0</v>
      </c>
    </row>
    <row r="31">
      <c r="B31" s="13" t="inlineStr">
        <is>
          <t>ASSIGNED INDEX</t>
        </is>
      </c>
      <c r="C31" s="64">
        <f>IF(Inputs!C66="",C27,Inputs!C66)</f>
        <v>3.0</v>
      </c>
      <c r="D31" s="42" t="n"/>
    </row>
    <row r="32">
      <c r="B32" t="inlineStr">
        <is>
          <t>Assigned long-term grade</t>
        </is>
      </c>
      <c r="C32" s="50" t="str">
        <f>INDEX(Ref_Scales!$A$5:$A$24,C31+1)</f>
        <v>AA-</v>
      </c>
    </row>
    <row r="33">
      <c r="B33" s="9" t="inlineStr">
        <is>
          <t>Assigned short-term grade</t>
        </is>
      </c>
      <c r="C33" t="str">
        <f>IF(OR(Inputs!$C$43="Superior",Inputs!$C$43="Strong"),INDEX(Ref_Scales!$C$5:$C$24,C31+1),INDEX(Ref_Scales!$B$5:$B$24,C31+1))</f>
        <v>A1+</v>
      </c>
    </row>
    <row r="34">
      <c r="B34" t="inlineStr">
        <is>
          <t>Divergence, anchor -&gt; assigned (notches)</t>
        </is>
      </c>
      <c r="C34">
        <f>C15-C31</f>
        <v>0.0</v>
      </c>
      <c r="D34" s="59" t="str">
        <f>IF(C34=0,"None - the anchor and the assigned rating agree.","COMPUTED, not typed. Stage 2 must carry a justification for every notch of this. The rationale quotes THIS number.")</f>
        <v>None - the anchor and the assigned rating agree.</v>
      </c>
    </row>
    <row r="36">
      <c r="B36" t="inlineStr">
        <is>
          <t>Assigned long-term line (agency house style)</t>
        </is>
      </c>
      <c r="C36" t="str">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[ICRA]AA- (Stable)</v>
      </c>
    </row>
    <row r="37">
      <c r="B37" t="inlineStr">
        <is>
          <t>Assigned short-term line</t>
        </is>
      </c>
      <c r="C37" t="str">
        <f>IF(Inputs!C5="ICRA","[ICRA]"&amp;C33,IF(Inputs!C5="CRISIL","Crisil "&amp;C33,"CARE "&amp;C33))</f>
        <v>[ICRA]A1+</v>
      </c>
    </row>
    <row r="38">
      <c r="B38" t="inlineStr">
        <is>
          <t>Assigned combined</t>
        </is>
      </c>
      <c r="C38" t="str">
        <f>C36&amp;" / "&amp;C37</f>
        <v>[ICRA]AA- (Stable) / [ICRA]A1+</v>
      </c>
    </row>
    <row r="40">
      <c r="B40" s="50" t="inlineStr">
        <is>
          <t>Future earning potential (from Projections)</t>
        </is>
      </c>
    </row>
    <row r="41">
      <c r="B41" t="inlineStr">
        <is>
          <t>Rs crore / x</t>
        </is>
      </c>
      <c r="C41" t="inlineStr">
        <is>
          <t>FY+1</t>
        </is>
      </c>
      <c r="D41" t="inlineStr">
        <is>
          <t>FY+2</t>
        </is>
      </c>
    </row>
    <row r="42">
      <c r="B42" t="inlineStr">
        <is>
          <t>Revenue</t>
        </is>
      </c>
      <c r="C42">
        <f>Projections!C5</f>
        <v>250.4844</v>
      </c>
      <c r="D42">
        <f>Projections!D5</f>
        <v>270.523152</v>
      </c>
    </row>
    <row r="43">
      <c r="B43" t="inlineStr">
        <is>
          <t>EBITDA</t>
        </is>
      </c>
      <c r="C43">
        <f>Projections!C6</f>
        <v>93.93165</v>
      </c>
      <c r="D43">
        <f>Projections!D6</f>
        <v>101.446182</v>
      </c>
    </row>
    <row r="44">
      <c r="B44" t="inlineStr">
        <is>
          <t>PAT</t>
        </is>
      </c>
      <c r="C44">
        <f>Projections!C13</f>
        <v>67.906986</v>
      </c>
      <c r="D44">
        <f>Projections!D13</f>
        <v>74.63919288</v>
      </c>
    </row>
    <row r="45">
      <c r="B45" t="inlineStr">
        <is>
          <t>Gross cash accruals</t>
        </is>
      </c>
      <c r="C45">
        <f>Projections!C14</f>
        <v>79.916986</v>
      </c>
      <c r="D45">
        <f>Projections!D14</f>
        <v>86.64919288</v>
      </c>
    </row>
    <row r="46">
      <c r="B46" t="inlineStr">
        <is>
          <t>Free cash flow</t>
        </is>
      </c>
      <c r="C46">
        <f>Projections!C18</f>
        <v>-23.35743714</v>
      </c>
      <c r="D46">
        <f>Projections!D18</f>
        <v>-19.9240116312</v>
      </c>
    </row>
    <row r="47">
      <c r="B47" t="inlineStr">
        <is>
          <t>Interest coverage (x)</t>
        </is>
      </c>
      <c r="C47">
        <f>Ratios!F14</f>
        <v>86.97375</v>
      </c>
      <c r="D47">
        <f>Ratios!G14</f>
        <v>174.9072103448</v>
      </c>
    </row>
    <row r="48">
      <c r="B48" t="inlineStr">
        <is>
          <t>Gearing (x)</t>
        </is>
      </c>
      <c r="C48">
        <f>Ratios!F10</f>
        <v>0.0077561706</v>
      </c>
      <c r="D48">
        <f>Ratios!G10</f>
        <v>0.0029524965</v>
      </c>
    </row>
    <row r="49">
      <c r="B49" t="inlineStr">
        <is>
          <t>Net debt</t>
        </is>
      </c>
      <c r="C49">
        <f>Ratios!F17</f>
        <v>-56.15256286</v>
      </c>
      <c r="D49">
        <f>Ratios!G17</f>
        <v>-36.2285512288</v>
      </c>
    </row>
    <row r="51">
      <c r="B51" s="59"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59" t="inlineStr">
        <is>
          <t>This workbook is an analytical exercise output, not an agency publication. The rating decision belongs to the Rating Committee (Step 17c), never to this sheet.</t>
        </is>
      </c>
    </row>
    <row r="55">
      <c r="B55" s="67" t="inlineStr">
        <is>
          <t>RECONCILIATION - this workbook against the rationale</t>
        </is>
      </c>
      <c r="C55" s="51" t="n"/>
      <c r="D55" s="51" t="n"/>
      <c r="E55" s="51" t="n"/>
      <c r="F55" s="51" t="n"/>
    </row>
    <row r="56">
      <c r="B56" s="68" t="inlineStr">
        <is>
          <t>Assigned rating on this sheet (Stage 3, cell C36)</t>
        </is>
      </c>
      <c r="C56" s="69" t="inlineStr">
        <is>
          <t>[ICRA]AA- (Stable)</t>
        </is>
      </c>
    </row>
    <row r="57">
      <c r="B57" s="68" t="inlineStr">
        <is>
          <t>Rating stated in the rationale</t>
        </is>
      </c>
      <c r="C57" s="69" t="inlineStr">
        <is>
          <t>[ICRA]AA- (Stable)/[ICRA]A1</t>
        </is>
      </c>
    </row>
    <row r="58">
      <c r="B58" s="68" t="inlineStr">
        <is>
          <t>Do they agree?</t>
        </is>
      </c>
      <c r="C58" s="69" t="inlineStr">
        <is>
          <t>YES</t>
        </is>
      </c>
    </row>
    <row r="59">
      <c r="B59" s="68" t="n"/>
      <c r="C59" s="69" t="inlineStr"/>
    </row>
    <row r="60">
      <c r="B60" s="68" t="inlineStr">
        <is>
          <t>Financial anchor (Stage 1, cell C16)</t>
        </is>
      </c>
      <c r="C60" s="69" t="inlineStr">
        <is>
          <t>AA-</t>
        </is>
      </c>
    </row>
    <row r="61">
      <c r="B61" s="68" t="inlineStr">
        <is>
          <t>Hard cap tested</t>
        </is>
      </c>
      <c r="C61" s="69" t="inlineStr">
        <is>
          <t>None</t>
        </is>
      </c>
    </row>
    <row r="62">
      <c r="B62" s="68" t="inlineStr">
        <is>
          <t>Divergence anchor -&gt; assigned, in notches (computed, C34)</t>
        </is>
      </c>
      <c r="C62" s="69" t="n">
        <v>0</v>
      </c>
    </row>
    <row r="63">
      <c r="B63" s="70" t="n"/>
    </row>
    <row r="64">
      <c r="B64" s="70" t="inlineStr">
        <is>
          <t>The anchor is a SCREEN computed from the audited financials alone. Every notch between it and the assigned</t>
        </is>
      </c>
    </row>
    <row r="65">
      <c r="B65" s="70" t="inlineStr">
        <is>
          <t>rating is itemised and justified in Stage 2 on this sheet - not asserted in prose. The notch count above is</t>
        </is>
      </c>
    </row>
    <row r="66">
      <c r="B66" s="70" t="inlineStr">
        <is>
          <t>COMPUTED by the workbook; it is never typed, because the first two hand-typed notch counts in this project</t>
        </is>
      </c>
    </row>
    <row r="67">
      <c r="B67" s="70" t="inlineStr">
        <is>
          <t>were both wrong (Godrej Properties said 9 where the chain gives 3 after the sector correction; Vodafone Idea</t>
        </is>
      </c>
    </row>
    <row r="68">
      <c r="B68" s="70" t="inlineStr">
        <is>
          <t>said 12 where it was 9).</t>
        </is>
      </c>
    </row>
    <row r="69">
      <c r="B69" s="70" t="n"/>
    </row>
    <row r="70">
      <c r="B70" s="70" t="inlineStr">
        <is>
          <t>The divergence on this case is argued in Alembic Limited_31 Aug 2026_Rating Rationale.md and the workpaper.</t>
        </is>
      </c>
    </row>
    <row r="71">
      <c r="B71" s="70" t="inlineStr">
        <is>
          <t>The rating decision belongs to the Rating Committee (Step 17c), not to this workbook.</t>
        </is>
      </c>
    </row>
    <row r="72">
      <c r="B72" s="70" t="n"/>
    </row>
    <row r="73">
      <c r="B73" s="70" t="inlineStr">
        <is>
          <t>CONVENTION USED - ICRA ONLY. This workbook carries no other agency's definitions.</t>
        </is>
      </c>
    </row>
    <row r="74">
      <c r="B74" s="70" t="inlineStr">
        <is>
          <t>Operating-profit measure: OPBDIT. OPBDIT = PBT + finance cost + depreciation and amortisation LESS other income in full. ICRA strips other income unconditionally. Total debt includes lease liabilities, off-balance-sheet items such as discounted receivables, and the debt component of hybrids. Tangible net worth excludes revaluation reserves.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inlineStr">
        <is>
          <t>ICRA</t>
        </is>
      </c>
      <c r="I5" s="13" t="inlineStr">
        <is>
          <t>OPBDIT</t>
        </is>
      </c>
      <c r="J5" s="13" t="inlineStr">
        <is>
          <t>[ICRA]AA+ (Stable) / [ICRA]A1+</t>
        </is>
      </c>
    </row>
    <row r="6">
      <c r="A6" s="13" t="inlineStr">
        <is>
          <t>AA+</t>
        </is>
      </c>
      <c r="B6" s="13" t="inlineStr">
        <is>
          <t>A1+</t>
        </is>
      </c>
      <c r="C6" s="13" t="inlineStr">
        <is>
          <t>A1+</t>
        </is>
      </c>
      <c r="E6" s="13" t="inlineStr">
        <is>
          <t>Strong</t>
        </is>
      </c>
      <c r="F6" s="25" t="n">
        <v>-0.1</v>
      </c>
      <c r="H6" s="13" t="n"/>
      <c r="I6" s="13" t="n"/>
      <c r="J6" s="13" t="n"/>
    </row>
    <row r="7">
      <c r="A7" s="13" t="inlineStr">
        <is>
          <t>AA</t>
        </is>
      </c>
      <c r="B7" s="13" t="inlineStr">
        <is>
          <t>A1+</t>
        </is>
      </c>
      <c r="C7" s="13" t="inlineStr">
        <is>
          <t>A1+</t>
        </is>
      </c>
      <c r="E7" s="13" t="inlineStr">
        <is>
          <t>Adequate</t>
        </is>
      </c>
      <c r="F7" s="25" t="n">
        <v>0</v>
      </c>
      <c r="H7" s="13" t="n"/>
      <c r="I7" s="13" t="n"/>
      <c r="J7" s="13" t="n"/>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ICRA.</t>
        </is>
      </c>
      <c r="B23" t="inlineStr">
        <is>
          <t>A4</t>
        </is>
      </c>
      <c r="C23" t="inlineStr">
        <is>
          <t>A4</t>
        </is>
      </c>
    </row>
    <row r="24">
      <c r="A24" t="inlineStr">
        <is>
          <t>D</t>
        </is>
      </c>
      <c r="B24" t="inlineStr">
        <is>
          <t>D</t>
        </is>
      </c>
      <c r="C24"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f>SUM(C5:F5)</f>
        <v>1.0</v>
      </c>
      <c r="H5" s="13" t="inlineStr">
        <is>
          <t>Corporate</t>
        </is>
      </c>
    </row>
    <row r="6">
      <c r="A6" s="13" t="inlineStr">
        <is>
          <t>Pharmaceuticals / Healthcare</t>
        </is>
      </c>
      <c r="B6" s="43" t="n">
        <v>2.5</v>
      </c>
      <c r="C6" s="33" t="n">
        <v>0.15</v>
      </c>
      <c r="D6" s="33" t="n">
        <v>0.25</v>
      </c>
      <c r="E6" s="33" t="n">
        <v>0.45</v>
      </c>
      <c r="F6" s="33" t="n">
        <v>0.15</v>
      </c>
      <c r="G6" s="25">
        <f>SUM(C6:F6)</f>
        <v>1.0</v>
      </c>
      <c r="H6" s="13" t="inlineStr">
        <is>
          <t>Corporate</t>
        </is>
      </c>
    </row>
    <row r="7">
      <c r="A7" s="13" t="inlineStr">
        <is>
          <t>IT / Software &amp; services</t>
        </is>
      </c>
      <c r="B7" s="43" t="n">
        <v>2.5</v>
      </c>
      <c r="C7" s="33" t="n">
        <v>0.15</v>
      </c>
      <c r="D7" s="33" t="n">
        <v>0.25</v>
      </c>
      <c r="E7" s="33" t="n">
        <v>0.4</v>
      </c>
      <c r="F7" s="33" t="n">
        <v>0.2</v>
      </c>
      <c r="G7" s="25">
        <f>SUM(C7:F7)</f>
        <v>1.0</v>
      </c>
      <c r="H7" s="13" t="inlineStr">
        <is>
          <t>Corporate</t>
        </is>
      </c>
    </row>
    <row r="8">
      <c r="A8" s="13" t="inlineStr">
        <is>
          <t>Auto OEM</t>
        </is>
      </c>
      <c r="B8" s="43" t="n">
        <v>3</v>
      </c>
      <c r="C8" s="33" t="n">
        <v>0.2</v>
      </c>
      <c r="D8" s="33" t="n">
        <v>0.25</v>
      </c>
      <c r="E8" s="33" t="n">
        <v>0.4</v>
      </c>
      <c r="F8" s="33" t="n">
        <v>0.15</v>
      </c>
      <c r="G8" s="25">
        <f>SUM(C8:F8)</f>
        <v>1.0</v>
      </c>
      <c r="H8" s="13" t="inlineStr">
        <is>
          <t>Corporate</t>
        </is>
      </c>
    </row>
    <row r="9">
      <c r="A9" s="13" t="inlineStr">
        <is>
          <t>Auto components</t>
        </is>
      </c>
      <c r="B9" s="43" t="n">
        <v>3.5</v>
      </c>
      <c r="C9" s="33" t="n">
        <v>0.2</v>
      </c>
      <c r="D9" s="33" t="n">
        <v>0.2</v>
      </c>
      <c r="E9" s="33" t="n">
        <v>0.45</v>
      </c>
      <c r="F9" s="33" t="n">
        <v>0.15</v>
      </c>
      <c r="G9" s="25">
        <f>SUM(C9:F9)</f>
        <v>1.0</v>
      </c>
      <c r="H9" s="13" t="inlineStr">
        <is>
          <t>Corporate</t>
        </is>
      </c>
    </row>
    <row r="10">
      <c r="A10" s="13" t="inlineStr">
        <is>
          <t>Cement</t>
        </is>
      </c>
      <c r="B10" s="43" t="n">
        <v>3</v>
      </c>
      <c r="C10" s="33" t="n">
        <v>0.2</v>
      </c>
      <c r="D10" s="33" t="n">
        <v>0.2</v>
      </c>
      <c r="E10" s="33" t="n">
        <v>0.45</v>
      </c>
      <c r="F10" s="33" t="n">
        <v>0.15</v>
      </c>
      <c r="G10" s="25">
        <f>SUM(C10:F10)</f>
        <v>1.0</v>
      </c>
      <c r="H10" s="13" t="inlineStr">
        <is>
          <t>Corporate</t>
        </is>
      </c>
    </row>
    <row r="11">
      <c r="A11" s="13" t="inlineStr">
        <is>
          <t>Iron &amp; Steel / Metals / Mining</t>
        </is>
      </c>
      <c r="B11" s="43" t="n">
        <v>4</v>
      </c>
      <c r="C11" s="33" t="n">
        <v>0.25</v>
      </c>
      <c r="D11" s="33" t="n">
        <v>0.15</v>
      </c>
      <c r="E11" s="33" t="n">
        <v>0.45</v>
      </c>
      <c r="F11" s="33" t="n">
        <v>0.15</v>
      </c>
      <c r="G11" s="25">
        <f>SUM(C11:F11)</f>
        <v>1.0</v>
      </c>
      <c r="H11" s="13" t="inlineStr">
        <is>
          <t>Corporate</t>
        </is>
      </c>
    </row>
    <row r="12">
      <c r="A12" s="13" t="inlineStr">
        <is>
          <t>Chemicals / Agrochemicals</t>
        </is>
      </c>
      <c r="B12" s="43" t="n">
        <v>3</v>
      </c>
      <c r="C12" s="33" t="n">
        <v>0.2</v>
      </c>
      <c r="D12" s="33" t="n">
        <v>0.2</v>
      </c>
      <c r="E12" s="33" t="n">
        <v>0.45</v>
      </c>
      <c r="F12" s="33" t="n">
        <v>0.15</v>
      </c>
      <c r="G12" s="25">
        <f>SUM(C12:F12)</f>
        <v>1.0</v>
      </c>
      <c r="H12" s="13" t="inlineStr">
        <is>
          <t>Corporate</t>
        </is>
      </c>
    </row>
    <row r="13">
      <c r="A13" s="13" t="inlineStr">
        <is>
          <t>Oil &amp; Gas / Refining</t>
        </is>
      </c>
      <c r="B13" s="43" t="n">
        <v>3</v>
      </c>
      <c r="C13" s="33" t="n">
        <v>0.2</v>
      </c>
      <c r="D13" s="33" t="n">
        <v>0.2</v>
      </c>
      <c r="E13" s="33" t="n">
        <v>0.45</v>
      </c>
      <c r="F13" s="33" t="n">
        <v>0.15</v>
      </c>
      <c r="G13" s="25">
        <f>SUM(C13:F13)</f>
        <v>1.0</v>
      </c>
      <c r="H13" s="13" t="inlineStr">
        <is>
          <t>Corporate</t>
        </is>
      </c>
    </row>
    <row r="14">
      <c r="A14" s="13" t="inlineStr">
        <is>
          <t>Textiles</t>
        </is>
      </c>
      <c r="B14" s="43" t="n">
        <v>4</v>
      </c>
      <c r="C14" s="33" t="n">
        <v>0.2</v>
      </c>
      <c r="D14" s="33" t="n">
        <v>0.2</v>
      </c>
      <c r="E14" s="33" t="n">
        <v>0.45</v>
      </c>
      <c r="F14" s="33" t="n">
        <v>0.15</v>
      </c>
      <c r="G14" s="25">
        <f>SUM(C14:F14)</f>
        <v>1.0</v>
      </c>
      <c r="H14" s="13" t="inlineStr">
        <is>
          <t>Corporate</t>
        </is>
      </c>
    </row>
    <row r="15">
      <c r="A15" s="13" t="inlineStr">
        <is>
          <t>Paper &amp; Packaging</t>
        </is>
      </c>
      <c r="B15" s="43" t="n">
        <v>3.5</v>
      </c>
      <c r="C15" s="33" t="n">
        <v>0.2</v>
      </c>
      <c r="D15" s="33" t="n">
        <v>0.2</v>
      </c>
      <c r="E15" s="33" t="n">
        <v>0.45</v>
      </c>
      <c r="F15" s="33" t="n">
        <v>0.15</v>
      </c>
      <c r="G15" s="25">
        <f>SUM(C15:F15)</f>
        <v>1.0</v>
      </c>
      <c r="H15" s="13" t="inlineStr">
        <is>
          <t>Corporate</t>
        </is>
      </c>
    </row>
    <row r="16">
      <c r="A16" s="13" t="inlineStr">
        <is>
          <t>Sugar / Agro-processing</t>
        </is>
      </c>
      <c r="B16" s="43" t="n">
        <v>4</v>
      </c>
      <c r="C16" s="33" t="n">
        <v>0.25</v>
      </c>
      <c r="D16" s="33" t="n">
        <v>0.15</v>
      </c>
      <c r="E16" s="33" t="n">
        <v>0.45</v>
      </c>
      <c r="F16" s="33" t="n">
        <v>0.15</v>
      </c>
      <c r="G16" s="25">
        <f>SUM(C16:F16)</f>
        <v>1.0</v>
      </c>
      <c r="H16" s="13" t="inlineStr">
        <is>
          <t>Corporate</t>
        </is>
      </c>
    </row>
    <row r="17">
      <c r="A17" s="13" t="inlineStr">
        <is>
          <t>Hotels / Hospitality</t>
        </is>
      </c>
      <c r="B17" s="43" t="n">
        <v>3.5</v>
      </c>
      <c r="C17" s="33" t="n">
        <v>0.2</v>
      </c>
      <c r="D17" s="33" t="n">
        <v>0.2</v>
      </c>
      <c r="E17" s="33" t="n">
        <v>0.45</v>
      </c>
      <c r="F17" s="33" t="n">
        <v>0.15</v>
      </c>
      <c r="G17" s="25">
        <f>SUM(C17:F17)</f>
        <v>1.0</v>
      </c>
      <c r="H17" s="13" t="inlineStr">
        <is>
          <t>Corporate</t>
        </is>
      </c>
    </row>
    <row r="18">
      <c r="A18" s="13" t="inlineStr">
        <is>
          <t>Real Estate / Construction</t>
        </is>
      </c>
      <c r="B18" s="43" t="n">
        <v>4.5</v>
      </c>
      <c r="C18" s="33" t="n">
        <v>0.25</v>
      </c>
      <c r="D18" s="33" t="n">
        <v>0.2</v>
      </c>
      <c r="E18" s="33" t="n">
        <v>0.4</v>
      </c>
      <c r="F18" s="33" t="n">
        <v>0.15</v>
      </c>
      <c r="G18" s="25">
        <f>SUM(C18:F18)</f>
        <v>1.0</v>
      </c>
      <c r="H18" s="13" t="inlineStr">
        <is>
          <t>Corporate</t>
        </is>
      </c>
    </row>
    <row r="19">
      <c r="A19" s="13" t="inlineStr">
        <is>
          <t>Infrastructure / Power</t>
        </is>
      </c>
      <c r="B19" s="43" t="n">
        <v>3.5</v>
      </c>
      <c r="C19" s="33" t="n">
        <v>0.25</v>
      </c>
      <c r="D19" s="33" t="n">
        <v>0.2</v>
      </c>
      <c r="E19" s="33" t="n">
        <v>0.4</v>
      </c>
      <c r="F19" s="33" t="n">
        <v>0.15</v>
      </c>
      <c r="G19" s="25">
        <f>SUM(C19:F19)</f>
        <v>1.0</v>
      </c>
      <c r="H19" s="13" t="inlineStr">
        <is>
          <t>Corporate</t>
        </is>
      </c>
    </row>
    <row r="20">
      <c r="A20" s="13" t="inlineStr">
        <is>
          <t>Telecom</t>
        </is>
      </c>
      <c r="B20" s="43" t="n">
        <v>3</v>
      </c>
      <c r="C20" s="33" t="n">
        <v>0.2</v>
      </c>
      <c r="D20" s="33" t="n">
        <v>0.25</v>
      </c>
      <c r="E20" s="33" t="n">
        <v>0.4</v>
      </c>
      <c r="F20" s="33" t="n">
        <v>0.15</v>
      </c>
      <c r="G20" s="25">
        <f>SUM(C20:F20)</f>
        <v>1.0</v>
      </c>
      <c r="H20" s="13" t="inlineStr">
        <is>
          <t>Corporate</t>
        </is>
      </c>
    </row>
    <row r="21">
      <c r="A21" s="13" t="inlineStr">
        <is>
          <t>Retail / Consumer discretionary</t>
        </is>
      </c>
      <c r="B21" s="43" t="n">
        <v>3</v>
      </c>
      <c r="C21" s="33" t="n">
        <v>0.15</v>
      </c>
      <c r="D21" s="33" t="n">
        <v>0.25</v>
      </c>
      <c r="E21" s="33" t="n">
        <v>0.45</v>
      </c>
      <c r="F21" s="33" t="n">
        <v>0.15</v>
      </c>
      <c r="G21" s="25">
        <f>SUM(C21:F21)</f>
        <v>1.0</v>
      </c>
      <c r="H21" s="13" t="inlineStr">
        <is>
          <t>Corporate</t>
        </is>
      </c>
    </row>
    <row r="22">
      <c r="A22" s="13" t="inlineStr">
        <is>
          <t>Trading / Distribution</t>
        </is>
      </c>
      <c r="B22" s="43" t="n">
        <v>4</v>
      </c>
      <c r="C22" s="33" t="n">
        <v>0.2</v>
      </c>
      <c r="D22" s="33" t="n">
        <v>0.2</v>
      </c>
      <c r="E22" s="33" t="n">
        <v>0.45</v>
      </c>
      <c r="F22" s="33" t="n">
        <v>0.15</v>
      </c>
      <c r="G22" s="25">
        <f>SUM(C22:F22)</f>
        <v>1.0</v>
      </c>
      <c r="H22" s="13" t="inlineStr">
        <is>
          <t>Corporate</t>
        </is>
      </c>
    </row>
    <row r="23">
      <c r="A23" s="13" t="inlineStr">
        <is>
          <t>Generic corporate</t>
        </is>
      </c>
      <c r="B23" s="43" t="n">
        <v>3</v>
      </c>
      <c r="C23" s="33" t="n">
        <v>0.2</v>
      </c>
      <c r="D23" s="33" t="n">
        <v>0.2</v>
      </c>
      <c r="E23" s="33" t="n">
        <v>0.45</v>
      </c>
      <c r="F23" s="33" t="n">
        <v>0.15</v>
      </c>
      <c r="G23" s="25">
        <f>SUM(C23:F23)</f>
        <v>1.0</v>
      </c>
      <c r="H23" s="13" t="inlineStr">
        <is>
          <t>Corporate</t>
        </is>
      </c>
    </row>
    <row r="24">
      <c r="A24" s="13" t="inlineStr">
        <is>
          <t>Bank / SFB</t>
        </is>
      </c>
      <c r="B24" s="43" t="n">
        <v>2</v>
      </c>
      <c r="C24" s="33" t="n">
        <v>0.15</v>
      </c>
      <c r="D24" s="33" t="n">
        <v>0.25</v>
      </c>
      <c r="E24" s="33" t="n">
        <v>0.45</v>
      </c>
      <c r="F24" s="33" t="n">
        <v>0.15</v>
      </c>
      <c r="G24" s="25">
        <f>SUM(C24:F24)</f>
        <v>1.0</v>
      </c>
      <c r="H24" s="13" t="inlineStr">
        <is>
          <t>Bank</t>
        </is>
      </c>
    </row>
    <row r="25">
      <c r="A25" s="13" t="inlineStr">
        <is>
          <t>NBFC</t>
        </is>
      </c>
      <c r="B25" s="43" t="n">
        <v>3</v>
      </c>
      <c r="C25" s="33" t="n">
        <v>0.15</v>
      </c>
      <c r="D25" s="33" t="n">
        <v>0.25</v>
      </c>
      <c r="E25" s="33" t="n">
        <v>0.45</v>
      </c>
      <c r="F25" s="33" t="n">
        <v>0.15</v>
      </c>
      <c r="G25" s="25">
        <f>SUM(C25:F25)</f>
        <v>1.0</v>
      </c>
      <c r="H25" s="13" t="inlineStr">
        <is>
          <t>NBFC</t>
        </is>
      </c>
    </row>
    <row r="26">
      <c r="A26" s="13" t="inlineStr">
        <is>
          <t>Housing Finance Co (HFC)</t>
        </is>
      </c>
      <c r="B26" s="43" t="n">
        <v>2.5</v>
      </c>
      <c r="C26" s="33" t="n">
        <v>0.15</v>
      </c>
      <c r="D26" s="33" t="n">
        <v>0.25</v>
      </c>
      <c r="E26" s="33" t="n">
        <v>0.45</v>
      </c>
      <c r="F26" s="33" t="n">
        <v>0.15</v>
      </c>
      <c r="G26" s="25">
        <f>SUM(C26:F26)</f>
        <v>1.0</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ICRA.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ICRA.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10" customWidth="1" min="2" max="2"/>
    <col width="46" customWidth="1" min="3" max="3"/>
    <col width="46" customWidth="1" min="4" max="4"/>
    <col width="46" customWidth="1" min="5" max="5"/>
  </cols>
  <sheetData>
    <row r="2">
      <c r="B2" s="47" t="inlineStr">
        <is>
          <t>Qualitative scoring rubric (1 = strongest ... 6 = weakest)</t>
        </is>
      </c>
    </row>
    <row r="3">
      <c r="B3" s="46" t="inlineStr">
        <is>
          <t>Anchors the Industry, Business and Management scores so two operators score alike. Lifted from ICRA methodology 960 (industry / business / management). Pick the row whose description best fits; justify the pick in one line in the report.</t>
        </is>
      </c>
    </row>
    <row r="5">
      <c r="B5" s="48" t="inlineStr">
        <is>
          <t>Score</t>
        </is>
      </c>
      <c r="C5" s="48" t="inlineStr">
        <is>
          <t>Industry / operating-environment risk</t>
        </is>
      </c>
      <c r="D5" s="48" t="inlineStr">
        <is>
          <t>Business risk / market position</t>
        </is>
      </c>
      <c r="E5" s="48" t="inlineStr">
        <is>
          <t>Management &amp; governance</t>
        </is>
      </c>
    </row>
    <row r="6">
      <c r="B6" s="46" t="n">
        <v>1</v>
      </c>
      <c r="C6" s="46" t="inlineStr">
        <is>
          <t>Stable, non-cyclical, high entry barriers; strong structural pricing power (regulated utility / dominant-franchise economics).</t>
        </is>
      </c>
      <c r="D6" s="46" t="inlineStr">
        <is>
          <t>Dominant leadership with pricing power; broad segment/geographic/customer diversification; sustained through cycles.</t>
        </is>
      </c>
      <c r="E6" s="46" t="inlineStr">
        <is>
          <t>Exceptional track record; conservative, consistent financial policy; strong board independence &amp; disclosure; no RPT/governance flags.</t>
        </is>
      </c>
    </row>
    <row r="7">
      <c r="B7" s="46" t="n">
        <v>2</v>
      </c>
      <c r="C7" s="46" t="inlineStr">
        <is>
          <t>Favourable growth, moderate cyclicality, limited competition; generally able to pass through input costs.</t>
        </is>
      </c>
      <c r="D7" s="46" t="inlineStr">
        <is>
          <t>Strong market position (top-tier share); good diversification; able to pass on most cost increases.</t>
        </is>
      </c>
      <c r="E7" s="46" t="inlineStr">
        <is>
          <t>Strong track record; prudent financial policy; sound governance; minor, well-managed group linkages.</t>
        </is>
      </c>
    </row>
    <row r="8">
      <c r="B8" s="46" t="n">
        <v>3</v>
      </c>
      <c r="C8" s="46" t="inlineStr">
        <is>
          <t>Moderate growth and competition; some cyclicality; partial cost pass-through.</t>
        </is>
      </c>
      <c r="D8" s="46" t="inlineStr">
        <is>
          <t>Established mid-tier position; some concentration; average pricing power.</t>
        </is>
      </c>
      <c r="E8" s="46" t="inlineStr">
        <is>
          <t>Adequate track record and policy; governance broadly adequate; some moderate financial-policy or group-support demands.</t>
        </is>
      </c>
    </row>
    <row r="9">
      <c r="B9" s="46" t="n">
        <v>4</v>
      </c>
      <c r="C9" s="46" t="inlineStr">
        <is>
          <t>Cyclical and competitive; margins sensitive to the cycle; price-taker in part (import-parity exposure).</t>
        </is>
      </c>
      <c r="D9" s="46" t="inlineStr">
        <is>
          <t>Modest share or meaningful segment/customer concentration; weak pricing power in downturns.</t>
        </is>
      </c>
      <c r="E9" s="46" t="inlineStr">
        <is>
          <t>Aggressive financial policy or capex appetite larger than existing scale; moderate governance gaps.</t>
        </is>
      </c>
    </row>
    <row r="10">
      <c r="B10" s="46" t="n">
        <v>5</v>
      </c>
      <c r="C10" s="46" t="inlineStr">
        <is>
          <t>Highly cyclical / fragmented / structurally competitive; largely a price-taker to landed import cost.</t>
        </is>
      </c>
      <c r="D10" s="46" t="inlineStr">
        <is>
          <t>Weak position; high concentration; margins compress sharply in a downturn.</t>
        </is>
      </c>
      <c r="E10" s="46" t="inlineStr">
        <is>
          <t>Weak governance or promoter-pledge/related-party concerns; track record of aggressive leverage.</t>
        </is>
      </c>
    </row>
    <row r="11">
      <c r="B11" s="46" t="n">
        <v>6</v>
      </c>
      <c r="C11" s="46" t="inlineStr">
        <is>
          <t>Structurally stressed or declining industry; adverse regulation; persistent overcapacity.</t>
        </is>
      </c>
      <c r="D11" s="46" t="inlineStr">
        <is>
          <t>Marginal, uncompetitive position; no pricing power.</t>
        </is>
      </c>
      <c r="E11" s="46" t="inlineStr">
        <is>
          <t>Serious governance failures, going-concern/financial-policy concerns, or a poor debt-servicing record.</t>
        </is>
      </c>
    </row>
    <row r="13">
      <c r="B13" s="46" t="inlineStr">
        <is>
          <t>Note: Industry can be left blank on Inputs to accept the sector base score in Ref_Weights; enter 1-6 here-style to override. Business and Management are always entered from this rubric.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2026-09-29T17:30:29Z</dcterms:modified>
</cp:coreProperties>
</file>