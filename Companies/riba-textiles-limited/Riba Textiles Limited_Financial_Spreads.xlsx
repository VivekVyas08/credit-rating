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atioSuite" sheetId="2" state="visible" r:id="rId2"/>
    <sheet xmlns:r="http://schemas.openxmlformats.org/officeDocument/2006/relationships" name="TieOut" sheetId="3" state="visible" r:id="rId3"/>
    <sheet xmlns:r="http://schemas.openxmlformats.org/officeDocument/2006/relationships" name="RatingScore" sheetId="4" state="visible" r:id="rId4"/>
  </sheets>
  <definedNames/>
  <calcPr calcId="99999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&quot;x&quot;"/>
  </numFmts>
  <fonts count="7">
    <font>
      <name val="Calibri"/>
      <family val="2"/>
      <color theme="1"/>
      <sz val="11"/>
      <scheme val="minor"/>
    </font>
    <font>
      <b val="1"/>
      <color rgb="001B2A4A"/>
      <sz val="13"/>
    </font>
    <font>
      <i val="1"/>
      <color rgb="00666666"/>
      <sz val="9"/>
    </font>
    <font>
      <b val="1"/>
      <color rgb="00FFFFFF"/>
    </font>
    <font>
      <b val="1"/>
    </font>
    <font/>
    <font>
      <b val="1"/>
      <color rgb="000E7C86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0" fontId="2" fillId="0" borderId="1" applyAlignment="1" pivotButton="0" quotePrefix="0" xfId="0">
      <alignment vertical="top" wrapText="1"/>
    </xf>
    <xf numFmtId="4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9" fontId="0" fillId="3" borderId="1" pivotButton="0" quotePrefix="0" xfId="0"/>
    <xf numFmtId="2" fontId="0" fillId="0" borderId="1" pivotButton="0" quotePrefix="0" xfId="0"/>
    <xf numFmtId="0" fontId="4" fillId="0" borderId="0" pivotButton="0" quotePrefix="0" xfId="0"/>
    <xf numFmtId="9" fontId="4" fillId="0" borderId="0" pivotButton="0" quotePrefix="0" xfId="0"/>
    <xf numFmtId="2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  <col width="14" customWidth="1" min="3" max="3"/>
    <col width="14" customWidth="1" min="4" max="4"/>
    <col width="14" customWidth="1" min="5" max="5"/>
    <col width="64" customWidth="1" min="6" max="6"/>
  </cols>
  <sheetData>
    <row r="2">
      <c r="B2" s="1" t="inlineStr">
        <is>
          <t>Riba Textiles Limited - extracted line items (Consolidated, Rs crore)</t>
        </is>
      </c>
    </row>
    <row r="3" ht="42" customHeight="1">
      <c r="B3" s="2" t="inlineStr">
        <is>
          <t>Yellow cells are EXTRACTED INPUTS traced to the source in the final column - nothing here is computed. Every downstream ratio references this sheet, so correcting a value here reflows the entire workbook.</t>
        </is>
      </c>
    </row>
    <row r="5">
      <c r="B5" s="3" t="inlineStr">
        <is>
          <t>Line item</t>
        </is>
      </c>
      <c r="C5" s="3" t="inlineStr">
        <is>
          <t>FY2023</t>
        </is>
      </c>
      <c r="D5" s="3" t="inlineStr">
        <is>
          <t>FY2024</t>
        </is>
      </c>
      <c r="E5" s="3" t="inlineStr">
        <is>
          <t>FY2025</t>
        </is>
      </c>
      <c r="F5" s="3" t="inlineStr">
        <is>
          <t>Source</t>
        </is>
      </c>
    </row>
    <row r="6">
      <c r="B6" s="4" t="inlineStr">
        <is>
          <t>Revenue from operations</t>
        </is>
      </c>
      <c r="C6" s="5" t="n"/>
      <c r="D6" s="5" t="n">
        <v>246.89</v>
      </c>
      <c r="E6" s="5" t="n">
        <v>295.86</v>
      </c>
      <c r="F6" s="6" t="inlineStr">
        <is>
          <t>AR FY2024-25 (998.md) P&amp;L L~3095</t>
        </is>
      </c>
    </row>
    <row r="7">
      <c r="B7" s="4" t="inlineStr">
        <is>
          <t>Other income</t>
        </is>
      </c>
      <c r="C7" s="5" t="n"/>
      <c r="D7" s="5" t="n">
        <v>0.31</v>
      </c>
      <c r="E7" s="5" t="n">
        <v>0.27</v>
      </c>
      <c r="F7" s="6" t="inlineStr">
        <is>
          <t>AR FY2024-25 (998.md) P&amp;L L~3096</t>
        </is>
      </c>
    </row>
    <row r="8">
      <c r="B8" s="4" t="inlineStr">
        <is>
          <t>Total income</t>
        </is>
      </c>
      <c r="C8" s="5" t="n">
        <v>242.83</v>
      </c>
      <c r="D8" s="5" t="n">
        <v>247.21</v>
      </c>
      <c r="E8" s="5" t="n">
        <v>296.13</v>
      </c>
      <c r="F8" s="6" t="inlineStr">
        <is>
          <t>AR FY2023-24 (973.md) comparative L3164; AR FY2024-25 (998.md) L~3097</t>
        </is>
      </c>
    </row>
    <row r="9">
      <c r="B9" s="4" t="inlineStr">
        <is>
          <t>Depreciation</t>
        </is>
      </c>
      <c r="C9" s="5" t="n">
        <v>4.47</v>
      </c>
      <c r="D9" s="5" t="n">
        <v>4.79</v>
      </c>
      <c r="E9" s="5" t="n">
        <v>5.47</v>
      </c>
      <c r="F9" s="6" t="inlineStr">
        <is>
          <t>AR FY2023-24 (973.md) comparative L3170; AR FY2024-25 (998.md) L~3109</t>
        </is>
      </c>
    </row>
    <row r="10">
      <c r="B10" s="4" t="inlineStr">
        <is>
          <t>Finance cost</t>
        </is>
      </c>
      <c r="C10" s="5" t="n">
        <v>4.49</v>
      </c>
      <c r="D10" s="5" t="n">
        <v>4.65</v>
      </c>
      <c r="E10" s="5" t="n">
        <v>5.89</v>
      </c>
      <c r="F10" s="6" t="inlineStr">
        <is>
          <t>AR FY2023-24 (973.md) comparative L3171; AR FY2024-25 (998.md) L~3110</t>
        </is>
      </c>
    </row>
    <row r="11">
      <c r="B11" s="4" t="inlineStr">
        <is>
          <t>Profit before tax</t>
        </is>
      </c>
      <c r="C11" s="5" t="n">
        <v>9.74</v>
      </c>
      <c r="D11" s="5" t="n">
        <v>10.6</v>
      </c>
      <c r="E11" s="5" t="n">
        <v>11.16</v>
      </c>
      <c r="F11" s="6" t="inlineStr">
        <is>
          <t>AR FY2023-24 (973.md) comparative L3177; AR FY2024-25 (998.md) L~3120</t>
        </is>
      </c>
    </row>
    <row r="12">
      <c r="B12" s="4" t="inlineStr">
        <is>
          <t>Profit after tax</t>
        </is>
      </c>
      <c r="C12" s="5" t="n">
        <v>7.4</v>
      </c>
      <c r="D12" s="5" t="n">
        <v>7.92</v>
      </c>
      <c r="E12" s="5" t="n">
        <v>8.5</v>
      </c>
      <c r="F12" s="6" t="inlineStr">
        <is>
          <t>AR FY2023-24 (973.md) comparative L3182; AR FY2024-25 (998.md) L3121</t>
        </is>
      </c>
    </row>
    <row r="13">
      <c r="B13" s="4" t="inlineStr">
        <is>
          <t>Borrowings - non-current</t>
        </is>
      </c>
      <c r="C13" s="5" t="n">
        <v>26.12</v>
      </c>
      <c r="D13" s="5" t="n">
        <v>25.38</v>
      </c>
      <c r="E13" s="5" t="n">
        <v>25.74</v>
      </c>
      <c r="F13" s="6" t="inlineStr">
        <is>
          <t>AR FY2023-24 (973.md) comparative L3120; AR FY2024-25 (998.md) L3060</t>
        </is>
      </c>
    </row>
    <row r="14">
      <c r="B14" s="4" t="inlineStr">
        <is>
          <t>Borrowings - current</t>
        </is>
      </c>
      <c r="C14" s="5" t="n">
        <v>34.68</v>
      </c>
      <c r="D14" s="5" t="n">
        <v>42.3</v>
      </c>
      <c r="E14" s="5" t="n">
        <v>35.65</v>
      </c>
      <c r="F14" s="6" t="inlineStr">
        <is>
          <t>AR FY2023-24 (973.md) comparative L3124; AR FY2024-25 (998.md) L3064</t>
        </is>
      </c>
    </row>
    <row r="15">
      <c r="B15" s="4" t="inlineStr">
        <is>
          <t>Cash + other bank balances</t>
        </is>
      </c>
      <c r="C15" s="5" t="n"/>
      <c r="D15" s="5" t="n">
        <v>4.77</v>
      </c>
      <c r="E15" s="5" t="n">
        <v>2.54</v>
      </c>
      <c r="F15" s="6" t="inlineStr">
        <is>
          <t>AR FY2024-25 (998.md) L~3046-3047</t>
        </is>
      </c>
    </row>
    <row r="16">
      <c r="B16" s="4" t="inlineStr">
        <is>
          <t>Tangible net worth</t>
        </is>
      </c>
      <c r="C16" s="5" t="n">
        <v>81.48</v>
      </c>
      <c r="D16" s="5" t="n">
        <v>89.40000000000001</v>
      </c>
      <c r="E16" s="5" t="n">
        <v>97.90000000000001</v>
      </c>
      <c r="F16" s="6" t="inlineStr">
        <is>
          <t>Equity share capital + reserves</t>
        </is>
      </c>
    </row>
    <row r="17">
      <c r="B17" s="4" t="inlineStr">
        <is>
          <t>Total assets</t>
        </is>
      </c>
      <c r="C17" s="5" t="n">
        <v>164.21</v>
      </c>
      <c r="D17" s="5" t="n">
        <v>179.08</v>
      </c>
      <c r="E17" s="5" t="n">
        <v>181.45</v>
      </c>
      <c r="F17" s="6" t="inlineStr">
        <is>
          <t>AR FY2023-24 (973.md) comparative L3110; AR FY2024-25 (998.md) L3067</t>
        </is>
      </c>
    </row>
    <row r="18">
      <c r="B18" s="4" t="inlineStr">
        <is>
          <t>Inventories</t>
        </is>
      </c>
      <c r="C18" s="5" t="n"/>
      <c r="D18" s="5" t="n">
        <v>25.68</v>
      </c>
      <c r="E18" s="5" t="n">
        <v>25.16</v>
      </c>
      <c r="F18" s="6" t="inlineStr">
        <is>
          <t>AR FY2024-25 (998.md) L3042</t>
        </is>
      </c>
    </row>
    <row r="19">
      <c r="B19" s="4" t="inlineStr">
        <is>
          <t>Trade receivables</t>
        </is>
      </c>
      <c r="C19" s="5" t="n"/>
      <c r="D19" s="5" t="n">
        <v>41.59</v>
      </c>
      <c r="E19" s="5" t="n">
        <v>36.22</v>
      </c>
      <c r="F19" s="6" t="inlineStr">
        <is>
          <t>AR FY2024-25 (998.md) L3044</t>
        </is>
      </c>
    </row>
    <row r="20">
      <c r="B20" s="4" t="inlineStr">
        <is>
          <t>Current assets</t>
        </is>
      </c>
      <c r="C20" s="5" t="n"/>
      <c r="D20" s="5" t="n">
        <v>82.63</v>
      </c>
      <c r="E20" s="5" t="n">
        <v>75.89</v>
      </c>
      <c r="F20" s="6" t="inlineStr">
        <is>
          <t>AR FY2024-25 (998.md) L~3050</t>
        </is>
      </c>
    </row>
    <row r="21">
      <c r="B21" s="4" t="inlineStr">
        <is>
          <t>Current liabilities</t>
        </is>
      </c>
      <c r="C21" s="5" t="n"/>
      <c r="D21" s="5" t="n">
        <v>61.99</v>
      </c>
      <c r="E21" s="5" t="n">
        <v>54.91</v>
      </c>
      <c r="F21" s="6" t="inlineStr">
        <is>
          <t>AR FY2024-25 (998.md) L3068</t>
        </is>
      </c>
    </row>
  </sheetData>
  <mergeCells count="1"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14" customWidth="1" min="3" max="3"/>
    <col width="14" customWidth="1" min="4" max="4"/>
    <col width="14" customWidth="1" min="5" max="5"/>
    <col width="46" customWidth="1" min="6" max="6"/>
    <col width="52" customWidth="1" min="7" max="7"/>
  </cols>
  <sheetData>
    <row r="2">
      <c r="B2" s="1" t="inlineStr">
        <is>
          <t>Riba Textiles Limited - ratio suite (Consolidated, Rs crore; agency conventions applied)</t>
        </is>
      </c>
    </row>
    <row r="3" ht="42" customHeight="1">
      <c r="B3" s="2" t="inlineStr">
        <is>
          <t>Every value is a LIVE FORMULA referencing the Inputs sheet - click any cell to see the arithmetic. 'Calculation' states the same formula in words; 'Convention' records the definitional choice (lease treatment, normalisation, netting) so the basis is auditable.</t>
        </is>
      </c>
    </row>
    <row r="5">
      <c r="B5" s="3" t="inlineStr">
        <is>
          <t>Ratio</t>
        </is>
      </c>
      <c r="C5" s="3" t="inlineStr">
        <is>
          <t>FY2023</t>
        </is>
      </c>
      <c r="D5" s="3" t="inlineStr">
        <is>
          <t>FY2024</t>
        </is>
      </c>
      <c r="E5" s="3" t="inlineStr">
        <is>
          <t>FY2025</t>
        </is>
      </c>
      <c r="F5" s="3" t="inlineStr">
        <is>
          <t>Calculation</t>
        </is>
      </c>
      <c r="G5" s="3" t="inlineStr">
        <is>
          <t>Convention / note</t>
        </is>
      </c>
    </row>
    <row r="6">
      <c r="B6" s="4" t="inlineStr">
        <is>
          <t>PBILDT</t>
        </is>
      </c>
      <c r="C6" s="7">
        <f>Inputs!C11+Inputs!C10+Inputs!C9-Inputs!C7</f>
        <v>18.7</v>
      </c>
      <c r="D6" s="7">
        <f>Inputs!D11+Inputs!D10+Inputs!D9-Inputs!D7</f>
        <v>19.73</v>
      </c>
      <c r="E6" s="7">
        <f>Inputs!E11+Inputs!E10+Inputs!E9-Inputs!E7</f>
        <v>22.25</v>
      </c>
      <c r="F6" s="6" t="inlineStr">
        <is>
          <t>CareEdge earnings measure. No lease liabilities on the balance sheet in any year, so PBILDT equals PBDIT here - absence recorded, not assumed</t>
        </is>
      </c>
    </row>
    <row r="7">
      <c r="B7" s="4" t="inlineStr">
        <is>
          <t>PBILDT margin (%)</t>
        </is>
      </c>
      <c r="C7" s="8">
        <f>(Inputs!C11+Inputs!C10+Inputs!C9-Inputs!C7)/Inputs!C8</f>
        <v>0.07700860684429435</v>
      </c>
      <c r="D7" s="8">
        <f>(Inputs!D11+Inputs!D10+Inputs!D9-Inputs!D7)/Inputs!D8</f>
        <v>0.07981068726993244</v>
      </c>
      <c r="E7" s="8">
        <f>(Inputs!E11+Inputs!E10+Inputs!E9-Inputs!E7)/Inputs!E8</f>
        <v>0.07513592003511971</v>
      </c>
      <c r="F7" s="6" t="inlineStr">
        <is>
          <t>THE CORE WEAKNESS: thin and slipping</t>
        </is>
      </c>
    </row>
    <row r="8">
      <c r="B8" s="4" t="inlineStr">
        <is>
          <t>PAT margin (%)</t>
        </is>
      </c>
      <c r="C8" s="8">
        <f>Inputs!C12/Inputs!C8</f>
        <v>0.030473994152287607</v>
      </c>
      <c r="D8" s="8">
        <f>Inputs!D12/Inputs!D8</f>
        <v>0.03203753893450912</v>
      </c>
      <c r="E8" s="8">
        <f>Inputs!E12/Inputs!E8</f>
        <v>0.02870360990105697</v>
      </c>
      <c r="F8" s="6" t="inlineStr">
        <is>
          <t>Profit after tax over income</t>
        </is>
      </c>
    </row>
    <row r="9">
      <c r="B9" s="4" t="inlineStr">
        <is>
          <t>Total debt</t>
        </is>
      </c>
      <c r="C9" s="7">
        <f>Inputs!C13+Inputs!C14</f>
        <v>60.8</v>
      </c>
      <c r="D9" s="7">
        <f>Inputs!D13+Inputs!D14</f>
        <v>67.67999999999999</v>
      </c>
      <c r="E9" s="7">
        <f>Inputs!E13+Inputs!E14</f>
        <v>61.39</v>
      </c>
      <c r="F9" s="6" t="inlineStr">
        <is>
          <t>Non-current plus current borrowings</t>
        </is>
      </c>
    </row>
    <row r="10">
      <c r="B10" s="4" t="inlineStr">
        <is>
          <t>Net debt</t>
        </is>
      </c>
      <c r="C10" s="7">
        <f>Inputs!C13+Inputs!C14-Inputs!C15</f>
        <v>60.8</v>
      </c>
      <c r="D10" s="7">
        <f>Inputs!D13+Inputs!D14-Inputs!D15</f>
        <v>62.91</v>
      </c>
      <c r="E10" s="7">
        <f>Inputs!E13+Inputs!E14-Inputs!E15</f>
        <v>58.85</v>
      </c>
      <c r="F10" s="6" t="inlineStr">
        <is>
          <t>Debt less cash</t>
        </is>
      </c>
    </row>
    <row r="11">
      <c r="B11" s="4" t="inlineStr">
        <is>
          <t>Overall gearing (x)  [SECTOR-DEFINING]</t>
        </is>
      </c>
      <c r="C11" s="9">
        <f>(Inputs!C13+Inputs!C14)/Inputs!C16</f>
        <v>0.746195385370643</v>
      </c>
      <c r="D11" s="9">
        <f>(Inputs!D13+Inputs!D14)/Inputs!D16</f>
        <v>0.7570469798657716</v>
      </c>
      <c r="E11" s="9">
        <f>(Inputs!E13+Inputs!E14)/Inputs!E16</f>
        <v>0.6270684371807967</v>
      </c>
      <c r="F11" s="6" t="inlineStr">
        <is>
          <t>Total debt to tangible net worth - CareEdge reports this AND the net measure</t>
        </is>
      </c>
    </row>
    <row r="12">
      <c r="B12" s="4" t="inlineStr">
        <is>
          <t>Net overall gearing (x)</t>
        </is>
      </c>
      <c r="C12" s="9">
        <f>(Inputs!C13+Inputs!C14-Inputs!C15)/Inputs!C16</f>
        <v>0.746195385370643</v>
      </c>
      <c r="D12" s="9">
        <f>(Inputs!D13+Inputs!D14-Inputs!D15)/Inputs!D16</f>
        <v>0.7036912751677852</v>
      </c>
      <c r="E12" s="9">
        <f>(Inputs!E13+Inputs!E14-Inputs!E15)/Inputs!E16</f>
        <v>0.601123595505618</v>
      </c>
      <c r="F12" s="6" t="inlineStr">
        <is>
          <t>Net of cash</t>
        </is>
      </c>
    </row>
    <row r="13">
      <c r="B13" s="4" t="inlineStr">
        <is>
          <t>TOL / TNW (x)</t>
        </is>
      </c>
      <c r="C13" s="9">
        <f>(Inputs!C17-Inputs!C16)/Inputs!C16</f>
        <v>1.0153411880216003</v>
      </c>
      <c r="D13" s="9">
        <f>(Inputs!D17-Inputs!D16)/Inputs!D16</f>
        <v>1.0031319910514542</v>
      </c>
      <c r="E13" s="9">
        <f>(Inputs!E17-Inputs!E16)/Inputs!E16</f>
        <v>0.8534218590398364</v>
      </c>
      <c r="F13" s="6" t="inlineStr">
        <is>
          <t>Total outside liabilities to tangible net worth</t>
        </is>
      </c>
    </row>
    <row r="14">
      <c r="B14" s="4" t="inlineStr">
        <is>
          <t>Interest coverage (x)  [SECTOR-DEFINING]</t>
        </is>
      </c>
      <c r="C14" s="9">
        <f>(Inputs!C11+Inputs!C10+Inputs!C9-Inputs!C7)/Inputs!C10</f>
        <v>4.164810690423162</v>
      </c>
      <c r="D14" s="9">
        <f>(Inputs!D11+Inputs!D10+Inputs!D9-Inputs!D7)/Inputs!D10</f>
        <v>4.243010752688172</v>
      </c>
      <c r="E14" s="9">
        <f>(Inputs!E11+Inputs!E10+Inputs!E9-Inputs!E7)/Inputs!E10</f>
        <v>3.7775891341256367</v>
      </c>
      <c r="F14" s="6" t="inlineStr">
        <is>
          <t>PBILDT to finance cost. DECLINING - the key monitorable</t>
        </is>
      </c>
    </row>
    <row r="15">
      <c r="B15" s="4" t="inlineStr">
        <is>
          <t>Total debt / PBILDT (x)</t>
        </is>
      </c>
      <c r="C15" s="9">
        <f>(Inputs!C13+Inputs!C14)/(Inputs!C11+Inputs!C10+Inputs!C9-Inputs!C7)</f>
        <v>3.251336898395722</v>
      </c>
      <c r="D15" s="9">
        <f>(Inputs!D13+Inputs!D14)/(Inputs!D11+Inputs!D10+Inputs!D9-Inputs!D7)</f>
        <v>3.430309173846933</v>
      </c>
      <c r="E15" s="9">
        <f>(Inputs!E13+Inputs!E14)/(Inputs!E11+Inputs!E10+Inputs!E9-Inputs!E7)</f>
        <v>2.7591011235955056</v>
      </c>
      <c r="F15" s="6" t="inlineStr">
        <is>
          <t>Years of earnings to clear debt</t>
        </is>
      </c>
    </row>
    <row r="16">
      <c r="B16" s="4" t="inlineStr">
        <is>
          <t>Current ratio (x)</t>
        </is>
      </c>
      <c r="C16" s="9">
        <f>Inputs!C20/Inputs!C21</f>
        <v/>
      </c>
      <c r="D16" s="9">
        <f>Inputs!D20/Inputs!D21</f>
        <v>1.3329569285368608</v>
      </c>
      <c r="E16" s="9">
        <f>Inputs!E20/Inputs!E21</f>
        <v>1.3820797668912768</v>
      </c>
      <c r="F16" s="6" t="inlineStr">
        <is>
          <t>Short-term liquidity</t>
        </is>
      </c>
    </row>
    <row r="17">
      <c r="B17" s="4" t="inlineStr">
        <is>
          <t>RoCE (%)</t>
        </is>
      </c>
      <c r="C17" s="8">
        <f>(Inputs!C11+Inputs!C10-Inputs!C7)/(Inputs!C13+Inputs!C14+Inputs!C16)</f>
        <v>0.10001405678942929</v>
      </c>
      <c r="D17" s="8">
        <f>(Inputs!D11+Inputs!D10-Inputs!D7)/(Inputs!D13+Inputs!D14+Inputs!D16)</f>
        <v>0.09511077158135982</v>
      </c>
      <c r="E17" s="8">
        <f>(Inputs!E11+Inputs!E10-Inputs!E7)/(Inputs!E13+Inputs!E14+Inputs!E16)</f>
        <v>0.10534245715361917</v>
      </c>
      <c r="F17" s="6" t="inlineStr">
        <is>
          <t>PBIT over capital employed</t>
        </is>
      </c>
    </row>
    <row r="18">
      <c r="B18" s="4" t="inlineStr">
        <is>
          <t>Receivable days</t>
        </is>
      </c>
      <c r="C18" s="10">
        <f>365*Inputs!C19/Inputs!C8</f>
        <v>0.0</v>
      </c>
      <c r="D18" s="10">
        <f>365*Inputs!D19/Inputs!D8</f>
        <v>61.40669875814085</v>
      </c>
      <c r="E18" s="10">
        <f>365*Inputs!E19/Inputs!E8</f>
        <v>44.64356870293452</v>
      </c>
      <c r="F18" s="6" t="inlineStr">
        <is>
          <t>Collection cycle - improving sharply</t>
        </is>
      </c>
    </row>
    <row r="19">
      <c r="B19" s="4" t="inlineStr">
        <is>
          <t>Inventory days</t>
        </is>
      </c>
      <c r="C19" s="10">
        <f>365*Inputs!C18/Inputs!C8</f>
        <v>0.0</v>
      </c>
      <c r="D19" s="10">
        <f>365*Inputs!D18/Inputs!D8</f>
        <v>37.91594191173496</v>
      </c>
      <c r="E19" s="10">
        <f>365*Inputs!E18/Inputs!E8</f>
        <v>31.01138013710195</v>
      </c>
      <c r="F19" s="6" t="inlineStr">
        <is>
          <t>Stock holding - improving</t>
        </is>
      </c>
    </row>
  </sheetData>
  <mergeCells count="1"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3" max="3"/>
    <col width="18" customWidth="1" min="4" max="4"/>
    <col width="12" customWidth="1" min="5" max="5"/>
    <col width="60" customWidth="1" min="6" max="6"/>
  </cols>
  <sheetData>
    <row r="2">
      <c r="B2" s="1" t="inlineStr">
        <is>
          <t>Riba Textiles Limited - tie-out to company-disclosed figures</t>
        </is>
      </c>
    </row>
    <row r="3" ht="42" customHeight="1">
      <c r="B3" s="2" t="inlineStr">
        <is>
          <t>Binding gate (CLAUDE.md Step 6): headline computed figures must reconcile to the company's OWN disclosed numbers before the workpaper is issued. PASS/FAIL is itself a formula - it re-evaluates if any input changes.</t>
        </is>
      </c>
    </row>
    <row r="5">
      <c r="B5" s="3" t="inlineStr">
        <is>
          <t>Check</t>
        </is>
      </c>
      <c r="C5" s="3" t="inlineStr">
        <is>
          <t>Computed</t>
        </is>
      </c>
      <c r="D5" s="3" t="inlineStr">
        <is>
          <t>Company-disclosed</t>
        </is>
      </c>
      <c r="E5" s="3" t="inlineStr">
        <is>
          <t>Result</t>
        </is>
      </c>
      <c r="F5" s="3" t="inlineStr">
        <is>
          <t>Note</t>
        </is>
      </c>
    </row>
    <row r="6">
      <c r="B6" s="4" t="inlineStr">
        <is>
          <t>FY25 total income = revenue + other income</t>
        </is>
      </c>
      <c r="C6" s="7">
        <f>Inputs!E6+Inputs!E7</f>
        <v>296.13</v>
      </c>
      <c r="D6" s="7" t="n">
        <v>296.13</v>
      </c>
      <c r="E6" s="11">
        <f>IF(ABS(C6-D6)&lt;=MAX(1,ABS(D6)*0.005),"PASS","CHECK")</f>
        <v/>
      </c>
      <c r="F6" s="6" t="inlineStr">
        <is>
          <t>Reported total income Rs 296.13 crore - exact</t>
        </is>
      </c>
    </row>
    <row r="7">
      <c r="B7" s="4" t="inlineStr">
        <is>
          <t>FY25 current ratio vs company-disclosed</t>
        </is>
      </c>
      <c r="C7" s="7">
        <f>Inputs!E20/Inputs!E21</f>
        <v>1.3820797668912768</v>
      </c>
      <c r="D7" s="7" t="n">
        <v>1.38</v>
      </c>
      <c r="E7" s="11">
        <f>IF(ABS(C7-D7)&lt;=MAX(1,ABS(D7)*0.005),"PASS","CHECK")</f>
        <v/>
      </c>
      <c r="F7" s="6" t="inlineStr">
        <is>
          <t>The FY2025 AR's own key-ratio table reports 1.38 - exact match</t>
        </is>
      </c>
    </row>
    <row r="8">
      <c r="B8" s="4" t="inlineStr">
        <is>
          <t>FY24 current ratio vs company-disclosed</t>
        </is>
      </c>
      <c r="C8" s="7">
        <f>Inputs!D20/Inputs!D21</f>
        <v>1.3329569285368608</v>
      </c>
      <c r="D8" s="7" t="n">
        <v>1.33</v>
      </c>
      <c r="E8" s="11">
        <f>IF(ABS(C8-D8)&lt;=MAX(1,ABS(D8)*0.005),"PASS","CHECK")</f>
        <v/>
      </c>
      <c r="F8" s="6" t="inlineStr">
        <is>
          <t>The FY2024 AR reports 1.33 - exact match</t>
        </is>
      </c>
    </row>
    <row r="9">
      <c r="B9" s="4" t="inlineStr">
        <is>
          <t>FY25 company 'debt-equity' = LT debt / TNW</t>
        </is>
      </c>
      <c r="C9" s="7">
        <f>Inputs!E13/Inputs!E16</f>
        <v>0.26292134831460673</v>
      </c>
      <c r="D9" s="7" t="n">
        <v>0.26</v>
      </c>
      <c r="E9" s="11">
        <f>IF(ABS(C9-D9)&lt;=MAX(1,ABS(D9)*0.005),"PASS","CHECK")</f>
        <v/>
      </c>
      <c r="F9" s="6" t="inlineStr">
        <is>
          <t>The company's published 'Debt Equity Ratio' uses LONG-TERM debt only. Reproducing 0.26 confirms both the extraction and the convention - CareEdge gearing on TOTAL debt is 0.63x</t>
        </is>
      </c>
    </row>
    <row r="10">
      <c r="B10" s="4" t="inlineStr">
        <is>
          <t>FY24 company 'debt-equity' = LT debt / TNW</t>
        </is>
      </c>
      <c r="C10" s="7">
        <f>Inputs!D13/Inputs!D16</f>
        <v>0.2838926174496644</v>
      </c>
      <c r="D10" s="7" t="n">
        <v>0.28</v>
      </c>
      <c r="E10" s="11">
        <f>IF(ABS(C10-D10)&lt;=MAX(1,ABS(D10)*0.005),"PASS","CHECK")</f>
        <v/>
      </c>
      <c r="F10" s="6" t="inlineStr">
        <is>
          <t>Company reports 0.28 - exact</t>
        </is>
      </c>
    </row>
    <row r="12">
      <c r="B12" s="12" t="inlineStr">
        <is>
          <t>Tolerance: 0.5% of the disclosed figure, floor Rs 1 - tighter than rounding, loose enough for basis differences.</t>
        </is>
      </c>
    </row>
  </sheetData>
  <mergeCells count="1"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4" customWidth="1" min="2" max="2"/>
    <col width="12" customWidth="1" min="3" max="3"/>
    <col width="10" customWidth="1" min="4" max="4"/>
    <col width="12" customWidth="1" min="5" max="5"/>
    <col width="70" customWidth="1" min="6" max="6"/>
  </cols>
  <sheetData>
    <row r="2">
      <c r="B2" s="1" t="inlineStr">
        <is>
          <t>Riba Textiles Limited - rating scorecard and view</t>
        </is>
      </c>
    </row>
    <row r="3" ht="42" customHeight="1">
      <c r="B3" s="2" t="inlineStr">
        <is>
          <t>Factor scores 1 (strongest) to 6 (weakest), weighted to a composite. The anchor is a SCREENING cross-check with a +/-2 notch band, NOT the rating - the analyst view and any divergence are stated below and the divergence must be explained, never buried.</t>
        </is>
      </c>
    </row>
    <row r="5">
      <c r="B5" s="3" t="inlineStr">
        <is>
          <t>Rating factor</t>
        </is>
      </c>
      <c r="C5" s="3" t="inlineStr">
        <is>
          <t>Score (1-6)</t>
        </is>
      </c>
      <c r="D5" s="3" t="inlineStr">
        <is>
          <t>Weight</t>
        </is>
      </c>
      <c r="E5" s="3" t="inlineStr">
        <is>
          <t>Weighted</t>
        </is>
      </c>
      <c r="F5" s="3" t="inlineStr">
        <is>
          <t>Justification</t>
        </is>
      </c>
    </row>
    <row r="6">
      <c r="B6" s="4" t="inlineStr">
        <is>
          <t>Industry risk - cotton textiles</t>
        </is>
      </c>
      <c r="C6" s="13" t="n">
        <v>4</v>
      </c>
      <c r="D6" s="14" t="n">
        <v>0.2</v>
      </c>
      <c r="E6" s="15">
        <f>C6*D6</f>
        <v>0.8</v>
      </c>
      <c r="F6" s="6" t="inlineStr">
        <is>
          <t>Terry towels and home textiles: fragmented, working-capital intensive, exposed to cotton price volatility and to export demand. CareEdge's cotton-textile methodology treats raw material pass-through as the central variable. Structurally a mid-band industry.</t>
        </is>
      </c>
    </row>
    <row r="7">
      <c r="B7" s="4" t="inlineStr">
        <is>
          <t>Scale and market position</t>
        </is>
      </c>
      <c r="C7" s="13" t="n">
        <v>4</v>
      </c>
      <c r="D7" s="14" t="n">
        <v>0.15</v>
      </c>
      <c r="E7" s="15">
        <f>C7*D7</f>
        <v>0.6</v>
      </c>
      <c r="F7" s="6" t="inlineStr">
        <is>
          <t>Revenue of Rs 295.86 crore in FY2025 (+19.8%). Small in absolute terms; Panipat-based with a single promoter group holding. Limited pricing power against branded and export buyers.</t>
        </is>
      </c>
    </row>
    <row r="8">
      <c r="B8" s="4" t="inlineStr">
        <is>
          <t>Financial risk - leverage</t>
        </is>
      </c>
      <c r="C8" s="13" t="n">
        <v>2</v>
      </c>
      <c r="D8" s="14" t="n">
        <v>0.25</v>
      </c>
      <c r="E8" s="15">
        <f>C8*D8</f>
        <v>0.5</v>
      </c>
      <c r="F8" s="6" t="inlineStr">
        <is>
          <t>Genuine deleveraging: overall gearing 0.76x to 0.63x, net gearing 0.70x to 0.60x, TOL/TNW 1.00x to 0.85x. Total debt fell to Rs 61.39 crore while net worth rose to Rs 97.90 crore through accruals. The clearest strength in the credit.</t>
        </is>
      </c>
    </row>
    <row r="9">
      <c r="B9" s="4" t="inlineStr">
        <is>
          <t>Financial risk - profitability and coverage</t>
        </is>
      </c>
      <c r="C9" s="13" t="n">
        <v>4</v>
      </c>
      <c r="D9" s="14" t="n">
        <v>0.25</v>
      </c>
      <c r="E9" s="15">
        <f>C9*D9</f>
        <v>1.0</v>
      </c>
      <c r="F9" s="6" t="inlineStr">
        <is>
          <t>THE CONSTRAINT. PBILDT margin 7.52%, down from 7.99%; the company's own operating margin fell 16.63% to 12.56%. Interest coverage DECLINED to 3.78x from 4.24x even as debt fell, because finance cost rose 26.7% while PBILDT rose only 12.8%. Revenue grew 19.8% but earnings did not keep pace - growth is being bought with margin.</t>
        </is>
      </c>
    </row>
    <row r="10">
      <c r="B10" s="4" t="inlineStr">
        <is>
          <t>Working capital and liquidity</t>
        </is>
      </c>
      <c r="C10" s="13" t="n">
        <v>3</v>
      </c>
      <c r="D10" s="14" t="n">
        <v>0.15</v>
      </c>
      <c r="E10" s="15">
        <f>C10*D10</f>
        <v>0.44999999999999996</v>
      </c>
      <c r="F10" s="6" t="inlineStr">
        <is>
          <t>Marked improvement: receivable days 61 to 45, inventory days 38 to 31, current ratio 1.33x to 1.38x. Offset by thin absolute liquidity - cash and bank balances of only Rs 2.54 crore against Rs 35.65 crore of current borrowings.</t>
        </is>
      </c>
    </row>
    <row r="11">
      <c r="B11" s="16" t="inlineStr">
        <is>
          <t>Weight check (must be 100%)</t>
        </is>
      </c>
      <c r="D11" s="17">
        <f>SUM(D6:D10)</f>
        <v>1.0</v>
      </c>
      <c r="E11" s="18">
        <f>SUM(E6:E10)</f>
        <v>3.3499999999999996</v>
      </c>
      <c r="F11" s="16">
        <f>IF(ABS(D11-1)&lt;0.001,"weights sum to 100%","ERROR: weights must sum to 100%")</f>
        <v/>
      </c>
    </row>
    <row r="13" ht="16" customHeight="1">
      <c r="B13" s="16" t="inlineStr">
        <is>
          <t>Weighted composite score</t>
        </is>
      </c>
      <c r="C13" s="19">
        <f>E11</f>
        <v>3.3499999999999996</v>
      </c>
    </row>
    <row r="14" ht="16" customHeight="1">
      <c r="B14" s="16" t="inlineStr">
        <is>
          <t>Indicative anchor grade (screening only, +/-2 band)</t>
        </is>
      </c>
      <c r="C14" s="19" t="inlineStr">
        <is>
          <t>BBB band (composite 3.35)</t>
        </is>
      </c>
    </row>
    <row r="15" ht="16" customHeight="1">
      <c r="B15" s="16" t="inlineStr">
        <is>
          <t>ANALYST RATING VIEW</t>
        </is>
      </c>
      <c r="C15" s="20" t="inlineStr">
        <is>
          <t>CARE BBB; Stable / CARE A3+</t>
        </is>
      </c>
    </row>
    <row r="16" ht="30" customHeight="1">
      <c r="B16" s="16" t="inlineStr">
        <is>
          <t>Divergence from anchor - explanation</t>
        </is>
      </c>
      <c r="C16" s="19" t="inlineStr">
        <is>
          <t>No divergence at the issuer level. The company's own FY2024-25 annual report discloses CRISIL reaffirming BBB/Stable on Rs 94 crore of bank facilities on 04-Jul-2025, up from BBB/Negative on Rs 76.5 crore in the two prior years. This assessment reaches the same band and the same outlook independently, and the Negative-to-Stable move is corroborated by the deleveraging above. NO Riba rationale exists in any reference library - searched; the anchor is the issuer's own Step 7b disclosure.</t>
        </is>
      </c>
    </row>
  </sheetData>
  <mergeCells count="5">
    <mergeCell ref="C13:F13"/>
    <mergeCell ref="C16:F16"/>
    <mergeCell ref="C15:F15"/>
    <mergeCell ref="B3:E3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2026-08-19T15:15:42Z</dcterms:created>
  <dcterms:modified xmlns:dcterms="http://purl.org/dc/terms/" xmlns:xsi="http://www.w3.org/2001/XMLSchema-instance" xsi:type="dcterms:W3CDTF">2026-08-19T15:15:42Z</dcterms:modified>
</cp:coreProperties>
</file>