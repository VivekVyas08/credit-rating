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_Base" sheetId="3" state="visible" r:id="rId3"/>
    <sheet xmlns:r="http://schemas.openxmlformats.org/officeDocument/2006/relationships" name="BalanceSheet_Base" sheetId="4" state="visible" r:id="rId4"/>
    <sheet xmlns:r="http://schemas.openxmlformats.org/officeDocument/2006/relationships" name="CreditRatios" sheetId="5" state="visible" r:id="rId5"/>
    <sheet xmlns:r="http://schemas.openxmlformats.org/officeDocument/2006/relationships" name="DebtBreakup" sheetId="6" state="visible" r:id="rId6"/>
    <sheet xmlns:r="http://schemas.openxmlformats.org/officeDocument/2006/relationships" name="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IIFL Finance Limited — 5-Year Projection Model (STANDALONE)</t>
        </is>
      </c>
    </row>
    <row r="4">
      <c r="B4" t="inlineStr">
        <is>
          <t>Basis: STANDALONE (IIFL Finance Limited only). Currency: Rs crore.</t>
        </is>
      </c>
    </row>
    <row r="5">
      <c r="B5" t="inlineStr">
        <is>
          <t>Purpose: forward earning/leverage path feeding the CARE-style rating (SOP Step 12).</t>
        </is>
      </c>
    </row>
    <row r="6">
      <c r="B6" t="inlineStr">
        <is>
          <t>NBFC lending model (adapted from the equity-research initiating-coverage approach; the</t>
        </is>
      </c>
    </row>
    <row r="7">
      <c r="B7" t="inlineStr">
        <is>
          <t>corporate 3-statement template does not fit a lender).</t>
        </is>
      </c>
    </row>
    <row r="8">
      <c r="B8" t="inlineStr">
        <is>
          <t>Sources: FY26 = audited standalone actuals (computed in compute_ratios.py).</t>
        </is>
      </c>
    </row>
    <row r="9">
      <c r="B9" t="inlineStr">
        <is>
          <t>Assumptions = AR management guidance + Motilal Oswal broker estimates (forward</t>
        </is>
      </c>
    </row>
    <row r="10">
      <c r="B10" t="inlineStr">
        <is>
          <t>reference, R2) + analyst judgment — each labelled on the Assumptions tab.</t>
        </is>
      </c>
    </row>
    <row r="11">
      <c r="B11" t="inlineStr">
        <is>
          <t>Data rule: no CRA rating or broker figure enters the actuals; broker is forward-context only.</t>
        </is>
      </c>
    </row>
    <row r="12">
      <c r="B12" t="inlineStr">
        <is>
          <t>All cells are computed VALUES (render without recalculation).</t>
        </is>
      </c>
    </row>
    <row r="13">
      <c r="B13" t="inlineStr">
        <is>
          <t>Tabs: Assumptions | P&amp;L_Base | BalanceSheet_Base | CreditRatios | DebtBreakup | Stress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Assumption (Base case)</t>
        </is>
      </c>
      <c r="B1" s="2" t="inlineStr">
        <is>
          <t>FY27E</t>
        </is>
      </c>
      <c r="C1" s="2" t="inlineStr">
        <is>
          <t>FY28E</t>
        </is>
      </c>
      <c r="D1" s="2" t="inlineStr">
        <is>
          <t>FY29E</t>
        </is>
      </c>
      <c r="E1" s="2" t="inlineStr">
        <is>
          <t>FY30E</t>
        </is>
      </c>
      <c r="F1" s="2" t="inlineStr">
        <is>
          <t>FY31E</t>
        </is>
      </c>
      <c r="G1" s="2" t="inlineStr">
        <is>
          <t>Source</t>
        </is>
      </c>
    </row>
    <row r="2">
      <c r="A2" t="inlineStr">
        <is>
          <t>Loan (net advances) growth %</t>
        </is>
      </c>
      <c r="B2" s="3" t="n">
        <v>22</v>
      </c>
      <c r="C2" s="3" t="n">
        <v>18</v>
      </c>
      <c r="D2" s="3" t="n">
        <v>16</v>
      </c>
      <c r="E2" s="3" t="n">
        <v>15</v>
      </c>
      <c r="F2" s="3" t="n">
        <v>14</v>
      </c>
      <c r="G2" t="inlineStr">
        <is>
          <t>AR gold guidance 20-25% + broker AUM CAGR ~21% FY26-28; taper (judgment)</t>
        </is>
      </c>
    </row>
    <row r="3">
      <c r="A3" t="inlineStr">
        <is>
          <t>Yield on avg net advances %</t>
        </is>
      </c>
      <c r="B3" s="3" t="n">
        <v>20.5</v>
      </c>
      <c r="C3" s="3" t="n">
        <v>20</v>
      </c>
      <c r="D3" s="3" t="n">
        <v>19.6</v>
      </c>
      <c r="E3" s="3" t="n">
        <v>19.3</v>
      </c>
      <c r="F3" s="3" t="n">
        <v>19</v>
      </c>
      <c r="G3" t="inlineStr">
        <is>
          <t>FY26 computed 20.8%; mild compression — RBI Gold Loan Directions 2025 (judgment)</t>
        </is>
      </c>
    </row>
    <row r="4">
      <c r="A4" t="inlineStr">
        <is>
          <t>Cost of borrowing %</t>
        </is>
      </c>
      <c r="B4" s="3" t="n">
        <v>10</v>
      </c>
      <c r="C4" s="3" t="n">
        <v>9.699999999999999</v>
      </c>
      <c r="D4" s="3" t="n">
        <v>9.5</v>
      </c>
      <c r="E4" s="3" t="n">
        <v>9.300000000000001</v>
      </c>
      <c r="F4" s="3" t="n">
        <v>9.199999999999999</v>
      </c>
      <c r="G4" t="inlineStr">
        <is>
          <t>FY26 computed 10.35%; rate-cycle easing (broker/judgment)</t>
        </is>
      </c>
    </row>
    <row r="5">
      <c r="A5" t="inlineStr">
        <is>
          <t>Credit cost / avg advances %</t>
        </is>
      </c>
      <c r="B5" s="3" t="n">
        <v>1.7</v>
      </c>
      <c r="C5" s="3" t="n">
        <v>1.6</v>
      </c>
      <c r="D5" s="3" t="n">
        <v>1.5</v>
      </c>
      <c r="E5" s="3" t="n">
        <v>1.5</v>
      </c>
      <c r="F5" s="3" t="n">
        <v>1.4</v>
      </c>
      <c r="G5" t="inlineStr">
        <is>
          <t>FY26 computed 1.73%; broker credit-cost decline 2.8-&gt;2.2 consol</t>
        </is>
      </c>
    </row>
    <row r="6">
      <c r="A6" t="inlineStr">
        <is>
          <t>Opex / avg total assets %</t>
        </is>
      </c>
      <c r="B6" s="3" t="n">
        <v>4.7</v>
      </c>
      <c r="C6" s="3" t="n">
        <v>4.5</v>
      </c>
      <c r="D6" s="3" t="n">
        <v>4.3</v>
      </c>
      <c r="E6" s="3" t="n">
        <v>4.2</v>
      </c>
      <c r="F6" s="3" t="n">
        <v>4.1</v>
      </c>
      <c r="G6" t="inlineStr">
        <is>
          <t>FY26 computed 4.80%; operating leverage (judgment)</t>
        </is>
      </c>
    </row>
    <row r="7">
      <c r="A7" t="inlineStr">
        <is>
          <t>Other income / avg total assets %</t>
        </is>
      </c>
      <c r="B7" s="3" t="n">
        <v>2.2</v>
      </c>
      <c r="C7" s="3" t="n">
        <v>2.2</v>
      </c>
      <c r="D7" s="3" t="n">
        <v>2.1</v>
      </c>
      <c r="E7" s="3" t="n">
        <v>2.1</v>
      </c>
      <c r="F7" s="3" t="n">
        <v>2</v>
      </c>
      <c r="G7" t="inlineStr">
        <is>
          <t>FY26 ~2.5% (assignment/co-lending income); normalise (judgment)</t>
        </is>
      </c>
    </row>
    <row r="8">
      <c r="A8" t="inlineStr">
        <is>
          <t>Tax rate %</t>
        </is>
      </c>
      <c r="B8" s="3" t="n">
        <v>25</v>
      </c>
      <c r="C8" s="3" t="n">
        <v>25</v>
      </c>
      <c r="D8" s="3" t="n">
        <v>25</v>
      </c>
      <c r="E8" s="3" t="n">
        <v>25</v>
      </c>
      <c r="F8" s="3" t="n">
        <v>25</v>
      </c>
      <c r="G8" t="inlineStr">
        <is>
          <t>Statutory</t>
        </is>
      </c>
    </row>
    <row r="9">
      <c r="A9" t="inlineStr">
        <is>
          <t>Dividend payout % of PAT</t>
        </is>
      </c>
      <c r="B9" s="3" t="n">
        <v>15</v>
      </c>
      <c r="C9" s="3" t="n">
        <v>15</v>
      </c>
      <c r="D9" s="3" t="n">
        <v>15</v>
      </c>
      <c r="E9" s="3" t="n">
        <v>15</v>
      </c>
      <c r="F9" s="3" t="n">
        <v>15</v>
      </c>
      <c r="G9" t="inlineStr">
        <is>
          <t>FY26 ~15% (AR dividend Rs4/sh)</t>
        </is>
      </c>
    </row>
    <row r="11">
      <c r="A11" s="4" t="inlineStr">
        <is>
          <t>Stress case: growth ~halved; yield -100bp; CoB +50-100bp; credit cost +150bp; opex +50bp (flexes the CARE NBFC methodology's named variables: asset quality, margin, growth).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Rs crore</t>
        </is>
      </c>
      <c r="B1" s="2" t="inlineStr">
        <is>
          <t>FY26A</t>
        </is>
      </c>
      <c r="C1" s="2" t="inlineStr">
        <is>
          <t>FY27E</t>
        </is>
      </c>
      <c r="D1" s="2" t="inlineStr">
        <is>
          <t>FY28E</t>
        </is>
      </c>
      <c r="E1" s="2" t="inlineStr">
        <is>
          <t>FY29E</t>
        </is>
      </c>
      <c r="F1" s="2" t="inlineStr">
        <is>
          <t>FY30E</t>
        </is>
      </c>
      <c r="G1" s="2" t="inlineStr">
        <is>
          <t>FY31E</t>
        </is>
      </c>
    </row>
    <row r="2">
      <c r="A2" t="inlineStr">
        <is>
          <t>Interest income</t>
        </is>
      </c>
      <c r="B2" t="n">
        <v>6438.9</v>
      </c>
      <c r="C2" t="n">
        <v>8677.799999999999</v>
      </c>
      <c r="D2" t="n">
        <v>10142.6</v>
      </c>
      <c r="E2" t="n">
        <v>11621.3</v>
      </c>
      <c r="F2" t="n">
        <v>13212.9</v>
      </c>
      <c r="G2" t="n">
        <v>14889.1</v>
      </c>
    </row>
    <row r="3">
      <c r="A3" t="inlineStr">
        <is>
          <t>Interest expense</t>
        </is>
      </c>
      <c r="B3" t="n">
        <v>-3273.3</v>
      </c>
      <c r="C3" t="n">
        <v>-4332.3</v>
      </c>
      <c r="D3" t="n">
        <v>-5076.5</v>
      </c>
      <c r="E3" t="n">
        <v>-5823.1</v>
      </c>
      <c r="F3" t="n">
        <v>-6573</v>
      </c>
      <c r="G3" t="n">
        <v>-7421</v>
      </c>
    </row>
    <row r="4">
      <c r="A4" t="inlineStr">
        <is>
          <t>Net interest income</t>
        </is>
      </c>
      <c r="B4" t="n">
        <v>3165.6</v>
      </c>
      <c r="C4" t="n">
        <v>4345.4</v>
      </c>
      <c r="D4" t="n">
        <v>5066.1</v>
      </c>
      <c r="E4" t="n">
        <v>5798.2</v>
      </c>
      <c r="F4" t="n">
        <v>6639.9</v>
      </c>
      <c r="G4" t="n">
        <v>7468</v>
      </c>
    </row>
    <row r="5">
      <c r="A5" t="inlineStr">
        <is>
          <t>Other income</t>
        </is>
      </c>
      <c r="B5" t="n">
        <v>1028.2</v>
      </c>
      <c r="C5" t="n">
        <v>1211.5</v>
      </c>
      <c r="D5" t="n">
        <v>1450.8</v>
      </c>
      <c r="E5" t="n">
        <v>1619.2</v>
      </c>
      <c r="F5" t="n">
        <v>1869.5</v>
      </c>
      <c r="G5" t="n">
        <v>2038.1</v>
      </c>
    </row>
    <row r="6">
      <c r="A6" t="inlineStr">
        <is>
          <t>Operating expenses</t>
        </is>
      </c>
      <c r="B6" t="n">
        <v>-1961.9</v>
      </c>
      <c r="C6" t="n">
        <v>-2588.2</v>
      </c>
      <c r="D6" t="n">
        <v>-2967.6</v>
      </c>
      <c r="E6" t="n">
        <v>-3315.4</v>
      </c>
      <c r="F6" t="n">
        <v>-3739.1</v>
      </c>
      <c r="G6" t="n">
        <v>-4178</v>
      </c>
    </row>
    <row r="7">
      <c r="A7" t="inlineStr">
        <is>
          <t>Pre-provision operating profit</t>
        </is>
      </c>
      <c r="B7" t="n">
        <v>2231.9</v>
      </c>
      <c r="C7" t="n">
        <v>2968.8</v>
      </c>
      <c r="D7" t="n">
        <v>3549.3</v>
      </c>
      <c r="E7" t="n">
        <v>4101.9</v>
      </c>
      <c r="F7" t="n">
        <v>4770.4</v>
      </c>
      <c r="G7" t="n">
        <v>5328.1</v>
      </c>
    </row>
    <row r="8">
      <c r="A8" t="inlineStr">
        <is>
          <t>Credit cost (impairment)</t>
        </is>
      </c>
      <c r="B8" t="n">
        <v>-705.6</v>
      </c>
      <c r="C8" t="n">
        <v>-719.6</v>
      </c>
      <c r="D8" t="n">
        <v>-811.4</v>
      </c>
      <c r="E8" t="n">
        <v>-889.4</v>
      </c>
      <c r="F8" t="n">
        <v>-1026.9</v>
      </c>
      <c r="G8" t="n">
        <v>-1097.1</v>
      </c>
    </row>
    <row r="9">
      <c r="A9" t="inlineStr">
        <is>
          <t>Profit before tax</t>
        </is>
      </c>
      <c r="B9" s="5" t="n">
        <v>1506.1</v>
      </c>
      <c r="C9" s="5" t="n">
        <v>2249.1</v>
      </c>
      <c r="D9" s="5" t="n">
        <v>2737.9</v>
      </c>
      <c r="E9" s="5" t="n">
        <v>3212.6</v>
      </c>
      <c r="F9" s="5" t="n">
        <v>3743.5</v>
      </c>
      <c r="G9" s="5" t="n">
        <v>4231</v>
      </c>
    </row>
    <row r="10">
      <c r="A10" t="inlineStr">
        <is>
          <t>Tax</t>
        </is>
      </c>
      <c r="B10" t="n">
        <v>-352.6</v>
      </c>
      <c r="C10" t="n">
        <v>-562.3</v>
      </c>
      <c r="D10" t="n">
        <v>-684.5</v>
      </c>
      <c r="E10" t="n">
        <v>-803.1</v>
      </c>
      <c r="F10" t="n">
        <v>-935.9</v>
      </c>
      <c r="G10" t="n">
        <v>-1057.7</v>
      </c>
    </row>
    <row r="11">
      <c r="A11" t="inlineStr">
        <is>
          <t>Profit after tax</t>
        </is>
      </c>
      <c r="B11" t="n">
        <v>1153.5</v>
      </c>
      <c r="C11" t="n">
        <v>1686.8</v>
      </c>
      <c r="D11" t="n">
        <v>2053.4</v>
      </c>
      <c r="E11" t="n">
        <v>2409.4</v>
      </c>
      <c r="F11" t="n">
        <v>2807.6</v>
      </c>
      <c r="G11" t="n">
        <v>3173.2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Rs crore</t>
        </is>
      </c>
      <c r="B1" s="2" t="inlineStr">
        <is>
          <t>FY26A</t>
        </is>
      </c>
      <c r="C1" s="2" t="inlineStr">
        <is>
          <t>FY27E</t>
        </is>
      </c>
      <c r="D1" s="2" t="inlineStr">
        <is>
          <t>FY28E</t>
        </is>
      </c>
      <c r="E1" s="2" t="inlineStr">
        <is>
          <t>FY29E</t>
        </is>
      </c>
      <c r="F1" s="2" t="inlineStr">
        <is>
          <t>FY30E</t>
        </is>
      </c>
      <c r="G1" s="2" t="inlineStr">
        <is>
          <t>FY31E</t>
        </is>
      </c>
    </row>
    <row r="2">
      <c r="A2" t="inlineStr">
        <is>
          <t>Net advances</t>
        </is>
      </c>
      <c r="B2" t="n">
        <v>38135.7</v>
      </c>
      <c r="C2" t="n">
        <v>46525.6</v>
      </c>
      <c r="D2" t="n">
        <v>54900.2</v>
      </c>
      <c r="E2" t="n">
        <v>63684.2</v>
      </c>
      <c r="F2" t="n">
        <v>73236.8</v>
      </c>
      <c r="G2" t="n">
        <v>83490</v>
      </c>
    </row>
    <row r="3">
      <c r="A3" t="inlineStr">
        <is>
          <t>Other assets</t>
        </is>
      </c>
      <c r="B3" t="n">
        <v>11498.5</v>
      </c>
      <c r="C3" t="n">
        <v>13975.8</v>
      </c>
      <c r="D3" t="n">
        <v>16491.5</v>
      </c>
      <c r="E3" t="n">
        <v>19130.1</v>
      </c>
      <c r="F3" t="n">
        <v>21999.6</v>
      </c>
      <c r="G3" t="n">
        <v>25079.6</v>
      </c>
    </row>
    <row r="4">
      <c r="A4" t="inlineStr">
        <is>
          <t>Total assets</t>
        </is>
      </c>
      <c r="B4" t="n">
        <v>49634.2</v>
      </c>
      <c r="C4" t="n">
        <v>60501.4</v>
      </c>
      <c r="D4" t="n">
        <v>71391.7</v>
      </c>
      <c r="E4" t="n">
        <v>82814.3</v>
      </c>
      <c r="F4" t="n">
        <v>95236.5</v>
      </c>
      <c r="G4" t="n">
        <v>108569.6</v>
      </c>
    </row>
    <row r="5">
      <c r="A5" t="inlineStr">
        <is>
          <t>Borrowings</t>
        </is>
      </c>
      <c r="B5" t="n">
        <v>38740</v>
      </c>
      <c r="C5" t="n">
        <v>47906.7</v>
      </c>
      <c r="D5" t="n">
        <v>56763.5</v>
      </c>
      <c r="E5" t="n">
        <v>65827.10000000001</v>
      </c>
      <c r="F5" t="n">
        <v>75526.89999999999</v>
      </c>
      <c r="G5" t="n">
        <v>85799.89999999999</v>
      </c>
    </row>
    <row r="6">
      <c r="A6" t="inlineStr">
        <is>
          <t>Other liabilities</t>
        </is>
      </c>
      <c r="B6" t="n">
        <v>3333.5</v>
      </c>
      <c r="C6" t="n">
        <v>3600.2</v>
      </c>
      <c r="D6" t="n">
        <v>3888.2</v>
      </c>
      <c r="E6" t="n">
        <v>4199.2</v>
      </c>
      <c r="F6" t="n">
        <v>4535.2</v>
      </c>
      <c r="G6" t="n">
        <v>4898</v>
      </c>
    </row>
    <row r="7">
      <c r="A7" t="inlineStr">
        <is>
          <t>Net worth</t>
        </is>
      </c>
      <c r="B7" t="n">
        <v>7560.7</v>
      </c>
      <c r="C7" t="n">
        <v>8994.5</v>
      </c>
      <c r="D7" t="n">
        <v>10739.9</v>
      </c>
      <c r="E7" t="n">
        <v>12788</v>
      </c>
      <c r="F7" t="n">
        <v>15174.4</v>
      </c>
      <c r="G7" t="n">
        <v>17871.7</v>
      </c>
    </row>
    <row r="8">
      <c r="A8" t="inlineStr">
        <is>
          <t>Total liabilities &amp; equity</t>
        </is>
      </c>
      <c r="B8" t="n">
        <v>49634.2</v>
      </c>
      <c r="C8" t="n">
        <v>60501.4</v>
      </c>
      <c r="D8" t="n">
        <v>71391.7</v>
      </c>
      <c r="E8" t="n">
        <v>82814.3</v>
      </c>
      <c r="F8" t="n">
        <v>95236.5</v>
      </c>
      <c r="G8" t="n">
        <v>108569.6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Ratio</t>
        </is>
      </c>
      <c r="B1" s="2" t="inlineStr">
        <is>
          <t>FY26A</t>
        </is>
      </c>
      <c r="C1" s="2" t="inlineStr">
        <is>
          <t>FY27E</t>
        </is>
      </c>
      <c r="D1" s="2" t="inlineStr">
        <is>
          <t>FY28E</t>
        </is>
      </c>
      <c r="E1" s="2" t="inlineStr">
        <is>
          <t>FY29E</t>
        </is>
      </c>
      <c r="F1" s="2" t="inlineStr">
        <is>
          <t>FY30E</t>
        </is>
      </c>
      <c r="G1" s="2" t="inlineStr">
        <is>
          <t>FY31E</t>
        </is>
      </c>
    </row>
    <row r="2">
      <c r="A2" t="inlineStr">
        <is>
          <t>Overall gearing (Borrowings/TNW, x)</t>
        </is>
      </c>
      <c r="B2" t="n">
        <v>5.26</v>
      </c>
      <c r="C2" t="n">
        <v>5.44</v>
      </c>
      <c r="D2" t="n">
        <v>5.38</v>
      </c>
      <c r="E2" t="n">
        <v>5.23</v>
      </c>
      <c r="F2" t="n">
        <v>5.04</v>
      </c>
      <c r="G2" t="n">
        <v>4.85</v>
      </c>
    </row>
    <row r="3">
      <c r="A3" t="inlineStr">
        <is>
          <t>RoTA (PAT/avg assets) %</t>
        </is>
      </c>
      <c r="B3" t="n">
        <v>2.32</v>
      </c>
      <c r="C3" t="n">
        <v>3.06</v>
      </c>
      <c r="D3" t="n">
        <v>3.11</v>
      </c>
      <c r="E3" t="n">
        <v>3.12</v>
      </c>
      <c r="F3" t="n">
        <v>3.15</v>
      </c>
      <c r="G3" t="n">
        <v>3.11</v>
      </c>
    </row>
    <row r="4">
      <c r="A4" t="inlineStr">
        <is>
          <t>RoNW (PAT/avg net worth) %</t>
        </is>
      </c>
      <c r="B4" t="n">
        <v>15.26</v>
      </c>
      <c r="C4" t="n">
        <v>20.38</v>
      </c>
      <c r="D4" t="n">
        <v>20.81</v>
      </c>
      <c r="E4" t="n">
        <v>20.48</v>
      </c>
      <c r="F4" t="n">
        <v>20.08</v>
      </c>
      <c r="G4" t="n">
        <v>19.2</v>
      </c>
    </row>
    <row r="5">
      <c r="A5" t="inlineStr">
        <is>
          <t>NIM (NII/avg assets) %</t>
        </is>
      </c>
      <c r="B5" t="n">
        <v>6.38</v>
      </c>
      <c r="C5" t="n">
        <v>7.89</v>
      </c>
      <c r="D5" t="n">
        <v>7.68</v>
      </c>
      <c r="E5" t="n">
        <v>7.52</v>
      </c>
      <c r="F5" t="n">
        <v>7.46</v>
      </c>
      <c r="G5" t="n">
        <v>7.33</v>
      </c>
    </row>
    <row r="6">
      <c r="A6" t="inlineStr">
        <is>
          <t>Credit cost / avg advances %</t>
        </is>
      </c>
      <c r="B6" t="n">
        <v>1.85</v>
      </c>
      <c r="C6" t="n">
        <v>1.7</v>
      </c>
      <c r="D6" t="n">
        <v>1.6</v>
      </c>
      <c r="E6" t="n">
        <v>1.5</v>
      </c>
      <c r="F6" t="n">
        <v>1.5</v>
      </c>
      <c r="G6" t="n">
        <v>1.4</v>
      </c>
    </row>
    <row r="7">
      <c r="A7" t="inlineStr">
        <is>
          <t>CRAR % (management-target assumption)</t>
        </is>
      </c>
      <c r="B7" t="n">
        <v>17.84</v>
      </c>
      <c r="C7" t="n">
        <v>17</v>
      </c>
      <c r="D7" t="n">
        <v>16.8</v>
      </c>
      <c r="E7" t="n">
        <v>16.5</v>
      </c>
      <c r="F7" t="n">
        <v>16.5</v>
      </c>
      <c r="G7" t="n">
        <v>16.5</v>
      </c>
    </row>
    <row r="8">
      <c r="A8" t="inlineStr">
        <is>
          <t>GNPA % (assumption, secured gold book)</t>
        </is>
      </c>
      <c r="B8" t="n">
        <v>1.5</v>
      </c>
      <c r="C8" t="n">
        <v>1.5</v>
      </c>
      <c r="D8" t="n">
        <v>1.4</v>
      </c>
      <c r="E8" t="n">
        <v>1.4</v>
      </c>
      <c r="F8" t="n">
        <v>1.3</v>
      </c>
      <c r="G8" t="n">
        <v>1.3</v>
      </c>
    </row>
    <row r="10">
      <c r="A10" s="4" t="inlineStr">
        <is>
          <t>CRAR held at management-target range (~16.5-17%) supported by ~85% earnings retention; not a precise RWA computation. GNPA assumed stable given 92% secured 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Rs crore</t>
        </is>
      </c>
      <c r="B1" s="2" t="inlineStr">
        <is>
          <t>FY26A</t>
        </is>
      </c>
      <c r="C1" s="2" t="inlineStr">
        <is>
          <t>Basis / note</t>
        </is>
      </c>
    </row>
    <row r="2">
      <c r="A2" t="inlineStr">
        <is>
          <t>Debt securities (NCDs incl PP-MLD)</t>
        </is>
      </c>
      <c r="B2" t="n">
        <v>15384.97</v>
      </c>
      <c r="C2" t="inlineStr">
        <is>
          <t>BS note 19 (outstanding)</t>
        </is>
      </c>
    </row>
    <row r="3">
      <c r="A3" t="inlineStr">
        <is>
          <t>Borrowings other than debt securities (bank TL/ECB/refinance)</t>
        </is>
      </c>
      <c r="B3" t="n">
        <v>19613.66</v>
      </c>
      <c r="C3" t="inlineStr">
        <is>
          <t>BS note 20</t>
        </is>
      </c>
    </row>
    <row r="4">
      <c r="A4" t="inlineStr">
        <is>
          <t>Subordinated liabilities (incl PDI Rs 600 cr)</t>
        </is>
      </c>
      <c r="B4" t="n">
        <v>3741.37</v>
      </c>
      <c r="C4" t="inlineStr">
        <is>
          <t>BS note 21</t>
        </is>
      </c>
    </row>
    <row r="5">
      <c r="A5" t="inlineStr">
        <is>
          <t>Total borrowings (excl lease)</t>
        </is>
      </c>
      <c r="B5" t="n">
        <v>38740</v>
      </c>
      <c r="C5" t="inlineStr">
        <is>
          <t>sum of above</t>
        </is>
      </c>
    </row>
    <row r="6">
      <c r="A6" t="inlineStr">
        <is>
          <t>Lease liability</t>
        </is>
      </c>
      <c r="B6" t="n">
        <v>417.3</v>
      </c>
      <c r="C6" t="inlineStr">
        <is>
          <t>BS</t>
        </is>
      </c>
    </row>
    <row r="7">
      <c r="A7" t="inlineStr">
        <is>
          <t>Total debt (incl lease)</t>
        </is>
      </c>
      <c r="B7" t="n">
        <v>39157.3</v>
      </c>
      <c r="C7">
        <f> borrowings + lease</f>
        <v/>
      </c>
    </row>
    <row r="8">
      <c r="A8" t="inlineStr">
        <is>
          <t xml:space="preserve">  of which Long-term</t>
        </is>
      </c>
      <c r="B8" t="inlineStr">
        <is>
          <t>TBC (issuer)</t>
        </is>
      </c>
      <c r="C8" t="inlineStr">
        <is>
          <t>NCDs + sub-debt + LT bank = to be split from AR maturity note</t>
        </is>
      </c>
    </row>
    <row r="9">
      <c r="A9" t="inlineStr">
        <is>
          <t xml:space="preserve">  of which Short-term (CP + &lt;1yr)</t>
        </is>
      </c>
      <c r="B9" t="inlineStr">
        <is>
          <t>TBC (issuer)</t>
        </is>
      </c>
      <c r="C9" t="inlineStr">
        <is>
          <t>CP programme limit Rs 3,000 cr; outstanding per AR</t>
        </is>
      </c>
    </row>
    <row r="10">
      <c r="A10" t="inlineStr">
        <is>
          <t>Projected total borrowings FY31E</t>
        </is>
      </c>
      <c r="B10" t="n">
        <v>85800</v>
      </c>
      <c r="C10" t="inlineStr">
        <is>
          <t>model output (Base)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Rs crore / ratio (STRESS)</t>
        </is>
      </c>
      <c r="B1" s="2" t="inlineStr">
        <is>
          <t>FY26A</t>
        </is>
      </c>
      <c r="C1" s="2" t="inlineStr">
        <is>
          <t>FY27E</t>
        </is>
      </c>
      <c r="D1" s="2" t="inlineStr">
        <is>
          <t>FY28E</t>
        </is>
      </c>
      <c r="E1" s="2" t="inlineStr">
        <is>
          <t>FY29E</t>
        </is>
      </c>
      <c r="F1" s="2" t="inlineStr">
        <is>
          <t>FY30E</t>
        </is>
      </c>
      <c r="G1" s="2" t="inlineStr">
        <is>
          <t>FY31E</t>
        </is>
      </c>
    </row>
    <row r="2">
      <c r="A2" t="inlineStr">
        <is>
          <t>Net interest income</t>
        </is>
      </c>
      <c r="B2" t="n">
        <v>3165.6</v>
      </c>
      <c r="C2" t="n">
        <v>3526.5</v>
      </c>
      <c r="D2" t="n">
        <v>3748.3</v>
      </c>
      <c r="E2" t="n">
        <v>3945.5</v>
      </c>
      <c r="F2" t="n">
        <v>4184.4</v>
      </c>
      <c r="G2" t="n">
        <v>4364.7</v>
      </c>
    </row>
    <row r="3">
      <c r="A3" t="inlineStr">
        <is>
          <t>Profit after tax</t>
        </is>
      </c>
      <c r="B3" t="n">
        <v>1153.5</v>
      </c>
      <c r="C3" t="n">
        <v>423.1</v>
      </c>
      <c r="D3" t="n">
        <v>488.5</v>
      </c>
      <c r="E3" t="n">
        <v>522.2</v>
      </c>
      <c r="F3" t="n">
        <v>563.2</v>
      </c>
      <c r="G3" t="n">
        <v>553.5</v>
      </c>
    </row>
    <row r="4">
      <c r="A4" t="inlineStr">
        <is>
          <t>RoTA %</t>
        </is>
      </c>
      <c r="B4" t="n">
        <v>2.32</v>
      </c>
      <c r="C4" t="n">
        <v>0.8100000000000001</v>
      </c>
      <c r="D4" t="n">
        <v>0.85</v>
      </c>
      <c r="E4" t="n">
        <v>0.84</v>
      </c>
      <c r="F4" t="n">
        <v>0.84</v>
      </c>
      <c r="G4" t="n">
        <v>0.77</v>
      </c>
    </row>
    <row r="5">
      <c r="A5" t="inlineStr">
        <is>
          <t>Overall gearing (x)</t>
        </is>
      </c>
      <c r="B5" t="n">
        <v>5.26</v>
      </c>
      <c r="C5" t="n">
        <v>5.63</v>
      </c>
      <c r="D5" t="n">
        <v>5.87</v>
      </c>
      <c r="E5" t="n">
        <v>6.03</v>
      </c>
      <c r="F5" t="n">
        <v>6.16</v>
      </c>
      <c r="G5" t="n">
        <v>6.28</v>
      </c>
    </row>
    <row r="6">
      <c r="A6" t="inlineStr">
        <is>
          <t>Credit cost / avg advances %</t>
        </is>
      </c>
      <c r="B6" t="n">
        <v>1.85</v>
      </c>
      <c r="C6" t="n">
        <v>3.2</v>
      </c>
      <c r="D6" t="n">
        <v>3.1</v>
      </c>
      <c r="E6" t="n">
        <v>3</v>
      </c>
      <c r="F6" t="n">
        <v>3</v>
      </c>
      <c r="G6" t="n">
        <v>2.9</v>
      </c>
    </row>
    <row r="8">
      <c r="A8" s="4" t="inlineStr">
        <is>
          <t>Stress flexes the CARE NBFC methodology's named variables (asset quality/credit cost, margin, growth). PAT compresses but stays positive; gearing stays within tolerance — capitalisation absorbs the stress.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2026-07-17T00:40:04Z</dcterms:created>
  <dcterms:modified xmlns:dcterms="http://purl.org/dc/terms/" xmlns:xsi="http://www.w3.org/2001/XMLSchema-instance" xsi:type="dcterms:W3CDTF">2026-07-17T00:40:04Z</dcterms:modified>
</cp:coreProperties>
</file>